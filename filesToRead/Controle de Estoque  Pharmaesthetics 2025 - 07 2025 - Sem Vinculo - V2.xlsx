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.machado\Desktop\"/>
    </mc:Choice>
  </mc:AlternateContent>
  <xr:revisionPtr revIDLastSave="0" documentId="8_{1E38D4A5-09D4-4EB5-BBBA-4B5AA79F0CB5}" xr6:coauthVersionLast="47" xr6:coauthVersionMax="47" xr10:uidLastSave="{00000000-0000-0000-0000-000000000000}"/>
  <bookViews>
    <workbookView xWindow="-120" yWindow="-120" windowWidth="29040" windowHeight="16440" tabRatio="893" xr2:uid="{D598ED55-E958-4345-A5D3-2F0D4732A004}"/>
  </bookViews>
  <sheets>
    <sheet name="07" sheetId="21" r:id="rId1"/>
  </sheets>
  <definedNames>
    <definedName name="_xlnm._FilterDatabase" localSheetId="0" hidden="1">'07'!$A$6:$X$334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tc={B71E22A3-1229-4055-B6D5-179CD9AF5329}</author>
    <author>tc={E41A6E02-803E-465E-84B2-3B7BA7D6A04F}</author>
    <author>tc={BD463D10-C4C2-41BA-B654-2B87AB707E01}</author>
    <author>Maria Luiza do Amaral Fortunato</author>
  </authors>
  <commentList>
    <comment ref="J4" authorId="0" shapeId="0" xr:uid="{B71E22A3-1229-4055-B6D5-179CD9AF53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F5 - Aba Fechamentos</t>
      </text>
    </comment>
    <comment ref="M4" authorId="1" shapeId="0" xr:uid="{E41A6E02-803E-465E-84B2-3B7BA7D6A0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F5 - Aba Fechamentos</t>
      </text>
    </comment>
    <comment ref="W233" authorId="2" shapeId="0" xr:uid="{BD463D10-C4C2-41BA-B654-2B87AB707E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Inventário fisico</t>
      </text>
    </comment>
    <comment ref="V240" authorId="3" shapeId="0" xr:uid="{2D4EA3E5-820C-4CD9-9D57-85B0223C0680}">
      <text>
        <r>
          <rPr>
            <b/>
            <sz val="9"/>
            <color indexed="81"/>
            <rFont val="Segoe UI"/>
            <family val="2"/>
          </rPr>
          <t>Maria Luiza do Amaral Fortunato:</t>
        </r>
        <r>
          <rPr>
            <sz val="9"/>
            <color indexed="81"/>
            <rFont val="Segoe UI"/>
            <family val="2"/>
          </rPr>
          <t xml:space="preserve">
80 - reprocesso
</t>
        </r>
      </text>
    </comment>
  </commentList>
</comments>
</file>

<file path=xl/sharedStrings.xml><?xml version="1.0" encoding="utf-8"?>
<sst xmlns="http://schemas.openxmlformats.org/spreadsheetml/2006/main" count="1245" uniqueCount="687">
  <si>
    <t>S</t>
  </si>
  <si>
    <t>Descrição</t>
  </si>
  <si>
    <t>Valor Total</t>
  </si>
  <si>
    <t>BO0001</t>
  </si>
  <si>
    <t>PR0001</t>
  </si>
  <si>
    <t>PR0002</t>
  </si>
  <si>
    <t>PR0003</t>
  </si>
  <si>
    <t>PR0004</t>
  </si>
  <si>
    <t>PR0010</t>
  </si>
  <si>
    <t>ME00000003</t>
  </si>
  <si>
    <t>ME00000055</t>
  </si>
  <si>
    <t>ME00000056</t>
  </si>
  <si>
    <t>ME00000061</t>
  </si>
  <si>
    <t>ME00000062</t>
  </si>
  <si>
    <t>ME00000069</t>
  </si>
  <si>
    <t>ME00000070</t>
  </si>
  <si>
    <t>ME00000071</t>
  </si>
  <si>
    <t>ME00000072</t>
  </si>
  <si>
    <t>ME00000077</t>
  </si>
  <si>
    <t>ME00000078</t>
  </si>
  <si>
    <t>PA0001</t>
  </si>
  <si>
    <t>PA0002</t>
  </si>
  <si>
    <t>PA0003</t>
  </si>
  <si>
    <t>PA0010</t>
  </si>
  <si>
    <t>PA0011</t>
  </si>
  <si>
    <t>PA0012</t>
  </si>
  <si>
    <t>ME00000001</t>
  </si>
  <si>
    <t>ME00000017</t>
  </si>
  <si>
    <t>ME00000018</t>
  </si>
  <si>
    <t>ME00000019</t>
  </si>
  <si>
    <t>ME00000020</t>
  </si>
  <si>
    <t>ME00000021</t>
  </si>
  <si>
    <t>ME00000022</t>
  </si>
  <si>
    <t>ME00000023</t>
  </si>
  <si>
    <t>ME00000024</t>
  </si>
  <si>
    <t>ME00000025</t>
  </si>
  <si>
    <t>ME00000026</t>
  </si>
  <si>
    <t>ME00000036</t>
  </si>
  <si>
    <t>ME00000037</t>
  </si>
  <si>
    <t>ME00000042</t>
  </si>
  <si>
    <t>ME00000043</t>
  </si>
  <si>
    <t>ME00000044</t>
  </si>
  <si>
    <t>ME00000045</t>
  </si>
  <si>
    <t>ME00000046</t>
  </si>
  <si>
    <t>ME00000082</t>
  </si>
  <si>
    <t>ME00000083</t>
  </si>
  <si>
    <t>ME00000086</t>
  </si>
  <si>
    <t>ME00000092</t>
  </si>
  <si>
    <t>CS00000001</t>
  </si>
  <si>
    <t>CS00000002</t>
  </si>
  <si>
    <t>CS00000007</t>
  </si>
  <si>
    <t>CS00000033</t>
  </si>
  <si>
    <t>CS00000037</t>
  </si>
  <si>
    <t>CS00000038</t>
  </si>
  <si>
    <t>CS00000045</t>
  </si>
  <si>
    <t>CS00000046</t>
  </si>
  <si>
    <t>DD00001085</t>
  </si>
  <si>
    <t>DD00001959</t>
  </si>
  <si>
    <t>OPTICAP XL4 AEVERT 0,2 MICRO 3/4 IN</t>
  </si>
  <si>
    <t>MP00000001</t>
  </si>
  <si>
    <t>MP00000002</t>
  </si>
  <si>
    <t>MP00000004</t>
  </si>
  <si>
    <t>MP00000005</t>
  </si>
  <si>
    <t>MP00000006</t>
  </si>
  <si>
    <t>MP00000007</t>
  </si>
  <si>
    <t>MP00000008</t>
  </si>
  <si>
    <t>MP00000009</t>
  </si>
  <si>
    <t>CS00000019</t>
  </si>
  <si>
    <t>CS00000020</t>
  </si>
  <si>
    <t>CS00000022</t>
  </si>
  <si>
    <t>CS00000027</t>
  </si>
  <si>
    <t>CS00000034</t>
  </si>
  <si>
    <t>CS00000035</t>
  </si>
  <si>
    <t>DD00000367</t>
  </si>
  <si>
    <t>DD00000368</t>
  </si>
  <si>
    <t>DD00000509</t>
  </si>
  <si>
    <t>DD00000555</t>
  </si>
  <si>
    <t>DD00000562</t>
  </si>
  <si>
    <t>DD00000801</t>
  </si>
  <si>
    <t>DD00000947</t>
  </si>
  <si>
    <t>DD00000953</t>
  </si>
  <si>
    <t>DD00000955</t>
  </si>
  <si>
    <t>DD00000990</t>
  </si>
  <si>
    <t>DD00001029</t>
  </si>
  <si>
    <t>DD00001030</t>
  </si>
  <si>
    <t>DD00001086</t>
  </si>
  <si>
    <t>DD00001218</t>
  </si>
  <si>
    <t>DD00001219</t>
  </si>
  <si>
    <t>DD00001288</t>
  </si>
  <si>
    <t>DD00001307</t>
  </si>
  <si>
    <t>DD00001359</t>
  </si>
  <si>
    <t>DD00001468</t>
  </si>
  <si>
    <t>DD00001645</t>
  </si>
  <si>
    <t>DD00001651</t>
  </si>
  <si>
    <t>DD00001680</t>
  </si>
  <si>
    <t>DD00001725</t>
  </si>
  <si>
    <t>DD00001795</t>
  </si>
  <si>
    <t>DD00001860</t>
  </si>
  <si>
    <t>DD00001861</t>
  </si>
  <si>
    <t>DD00001992</t>
  </si>
  <si>
    <t>DD00001993</t>
  </si>
  <si>
    <t>DD00001994</t>
  </si>
  <si>
    <t>DD00002280</t>
  </si>
  <si>
    <t>MC00000001</t>
  </si>
  <si>
    <t>MC00000004</t>
  </si>
  <si>
    <t>ME00000067</t>
  </si>
  <si>
    <t>ME00000027</t>
  </si>
  <si>
    <t>ME00000028</t>
  </si>
  <si>
    <t>ME00000029</t>
  </si>
  <si>
    <t>PR0023</t>
  </si>
  <si>
    <t>PR0024</t>
  </si>
  <si>
    <t>PR0022</t>
  </si>
  <si>
    <t>PR0021</t>
  </si>
  <si>
    <t>PR0020</t>
  </si>
  <si>
    <t>DD00000952</t>
  </si>
  <si>
    <t>ME00000093</t>
  </si>
  <si>
    <t>ME00000094</t>
  </si>
  <si>
    <t>ME00000095</t>
  </si>
  <si>
    <t>ME00000096</t>
  </si>
  <si>
    <t>PR0014</t>
  </si>
  <si>
    <t>PLACA MAE PARA HIFU CONTLEX CWM-940</t>
  </si>
  <si>
    <t>PR0015</t>
  </si>
  <si>
    <t>PR0016</t>
  </si>
  <si>
    <t>PR0017</t>
  </si>
  <si>
    <t>PR0018</t>
  </si>
  <si>
    <t>PR0019</t>
  </si>
  <si>
    <t>CS00000003</t>
  </si>
  <si>
    <t>CS00000004</t>
  </si>
  <si>
    <t>CS00000008</t>
  </si>
  <si>
    <t>CS00000010</t>
  </si>
  <si>
    <t>CS00000012</t>
  </si>
  <si>
    <t>CS00000016</t>
  </si>
  <si>
    <t>CS00000021</t>
  </si>
  <si>
    <t>DD00000019</t>
  </si>
  <si>
    <t>DD00000021</t>
  </si>
  <si>
    <t>DD00000129</t>
  </si>
  <si>
    <t>DD00000130</t>
  </si>
  <si>
    <t>DD00000131</t>
  </si>
  <si>
    <t>FITA ADESIVA TRANSPARENTE 72MMX100MM</t>
  </si>
  <si>
    <t>CILINDRO PARA SERINGA COC ESTERIL 1ML IGLL FM257/2 (6015B-51)</t>
  </si>
  <si>
    <t>HIALURONATO DE SODIO GRAU MEDICO/FARMACEUTICO EM FIBRA (PHI)</t>
  </si>
  <si>
    <t>CLORETO DE SODIO NACL PO EMPROVE</t>
  </si>
  <si>
    <t>PR0025</t>
  </si>
  <si>
    <t>PLACA DE RADIOFREQUENCIA PARA HIFU CONTLEX CWM-940</t>
  </si>
  <si>
    <t>PR0026</t>
  </si>
  <si>
    <t>PLACA T8 DO DISPLAY PARA HIFU CONTLEX CWM-940</t>
  </si>
  <si>
    <t>PR0027</t>
  </si>
  <si>
    <t>PLACA DE CONTATO PARA HIFU CONTLEX CWM-940</t>
  </si>
  <si>
    <t>PR0028</t>
  </si>
  <si>
    <t>FONTE CHAVEADA SAIDA SIMPLES PARA HIFU CONTLEX CWM-940</t>
  </si>
  <si>
    <t>PR0029</t>
  </si>
  <si>
    <t>FONTE CHAVEADA SAIDA DUPLA PARA HIFU CONTLEX CWM-940</t>
  </si>
  <si>
    <t>PR0030</t>
  </si>
  <si>
    <t>DRIVER DO MOTOR PARA HIFU CONTLEX CWM-940</t>
  </si>
  <si>
    <t>PR0031</t>
  </si>
  <si>
    <t>MEMBRANA FILME DO CARTUCHO 1.5MM PARA HIFU CONTLEX CWM-940</t>
  </si>
  <si>
    <t>PR0032</t>
  </si>
  <si>
    <t>MEMBRANA FILME DO CARTUCHO 3.0MM E 4.5MM PARA HIFU CONTLEX CWM-940</t>
  </si>
  <si>
    <t>PR0033</t>
  </si>
  <si>
    <t>PLACA DE CONTROLE PARA HIFU CONTLEX CWM-940</t>
  </si>
  <si>
    <t>CS00000009</t>
  </si>
  <si>
    <t>CS00000017</t>
  </si>
  <si>
    <t>AGULHA 27G 1/2 COM SELO INMETRO</t>
  </si>
  <si>
    <t>FOSFATO DE SODIO DIBASICO DODECAHIDRATADO CRISTAL EMPROVE ESSENTIAL (1.06573.5000)</t>
  </si>
  <si>
    <t>PR0034</t>
  </si>
  <si>
    <t>PR0035</t>
  </si>
  <si>
    <t>CS00000018</t>
  </si>
  <si>
    <t>RIBBON MISTO EXTERNO PRETO 110MMX74M</t>
  </si>
  <si>
    <t>DD00000387</t>
  </si>
  <si>
    <t>DD00000523</t>
  </si>
  <si>
    <t>MC00000003</t>
  </si>
  <si>
    <t>(V9283) STOPPER ESTERIL 1ML LONG FM257/2</t>
  </si>
  <si>
    <t>ME00000104</t>
  </si>
  <si>
    <t>CS00000005</t>
  </si>
  <si>
    <t>CS00000006</t>
  </si>
  <si>
    <t>CS00000011</t>
  </si>
  <si>
    <t>CS00000013</t>
  </si>
  <si>
    <t>CS00000014</t>
  </si>
  <si>
    <t>CS00000023</t>
  </si>
  <si>
    <t>CS00000024</t>
  </si>
  <si>
    <t>CS00000032</t>
  </si>
  <si>
    <t>CS00000036</t>
  </si>
  <si>
    <t>DD00000138</t>
  </si>
  <si>
    <t>DD00000161</t>
  </si>
  <si>
    <t>DD00000321</t>
  </si>
  <si>
    <t>DD00000322</t>
  </si>
  <si>
    <t>DD00000510</t>
  </si>
  <si>
    <t>FITA CREPE  48MMX50M</t>
  </si>
  <si>
    <t>DD00000572</t>
  </si>
  <si>
    <t>DD00000597</t>
  </si>
  <si>
    <t>PIPETA PASTEUR 3 ML ESTERIL C/ 100 UNID</t>
  </si>
  <si>
    <t>DD00000598</t>
  </si>
  <si>
    <t>DD00000737</t>
  </si>
  <si>
    <t>FILME PVC 28CM X 15M</t>
  </si>
  <si>
    <t>ME00000099</t>
  </si>
  <si>
    <t>ME00000101</t>
  </si>
  <si>
    <t>ME00000102</t>
  </si>
  <si>
    <t>CLORIDRATO DE LIDOCAINA PO USP 41 (584)</t>
  </si>
  <si>
    <t>FOSFATO DE SODIO MONOBASICO DIHIDRATADO CRISTAL EMPROVE (1.06345.1000)</t>
  </si>
  <si>
    <t>PR0009</t>
  </si>
  <si>
    <t>DD00000945</t>
  </si>
  <si>
    <t>CALCA TNT DESCARTAVEL</t>
  </si>
  <si>
    <t>DD00000969</t>
  </si>
  <si>
    <t>DD00000970</t>
  </si>
  <si>
    <t>MC00000005</t>
  </si>
  <si>
    <t>ME00000097</t>
  </si>
  <si>
    <t>ME00000098</t>
  </si>
  <si>
    <t>ME00000100</t>
  </si>
  <si>
    <t>MP00000011</t>
  </si>
  <si>
    <t>DD00001144</t>
  </si>
  <si>
    <t>PA0013</t>
  </si>
  <si>
    <t>CS00000025</t>
  </si>
  <si>
    <t>DD00000971</t>
  </si>
  <si>
    <t>DD00001031</t>
  </si>
  <si>
    <t>ME00000106</t>
  </si>
  <si>
    <t>DD00000099</t>
  </si>
  <si>
    <t>Código</t>
  </si>
  <si>
    <t>DD00001554</t>
  </si>
  <si>
    <t>RIBBON SD XTRA BLACK TTR 55 MM X 110 M</t>
  </si>
  <si>
    <t>AGULHA 30G 1/2 COM SELO INMETRO</t>
  </si>
  <si>
    <t>BO</t>
  </si>
  <si>
    <t>CS</t>
  </si>
  <si>
    <t>DD</t>
  </si>
  <si>
    <t>MC</t>
  </si>
  <si>
    <t>ME</t>
  </si>
  <si>
    <t>MP</t>
  </si>
  <si>
    <t>PA</t>
  </si>
  <si>
    <t>PR</t>
  </si>
  <si>
    <t>WIP</t>
  </si>
  <si>
    <t>Produtos em Processo - WIP</t>
  </si>
  <si>
    <t>Unit</t>
  </si>
  <si>
    <t>Saldo Inicial</t>
  </si>
  <si>
    <t>Entradas</t>
  </si>
  <si>
    <t>Saídas</t>
  </si>
  <si>
    <t>Saldo Final</t>
  </si>
  <si>
    <t>Qtde</t>
  </si>
  <si>
    <t>Movimento de Estoque Pharmaesthetics</t>
  </si>
  <si>
    <t>PR0036</t>
  </si>
  <si>
    <t>PR0037</t>
  </si>
  <si>
    <t>PR0038</t>
  </si>
  <si>
    <t>PR0039</t>
  </si>
  <si>
    <t>PR0041</t>
  </si>
  <si>
    <t>PR0042</t>
  </si>
  <si>
    <t>PR0043</t>
  </si>
  <si>
    <t>PR0044</t>
  </si>
  <si>
    <t>PR0045</t>
  </si>
  <si>
    <t>PR0046</t>
  </si>
  <si>
    <t>PR0047</t>
  </si>
  <si>
    <t>PR0048</t>
  </si>
  <si>
    <t>PR0049</t>
  </si>
  <si>
    <t>PR0050</t>
  </si>
  <si>
    <t>PR0051</t>
  </si>
  <si>
    <t>PR0052</t>
  </si>
  <si>
    <t>PR0053</t>
  </si>
  <si>
    <t>PR0054</t>
  </si>
  <si>
    <t>PR0055</t>
  </si>
  <si>
    <t>PR0056</t>
  </si>
  <si>
    <t>PR0057</t>
  </si>
  <si>
    <t>PR0058</t>
  </si>
  <si>
    <t>PR0060</t>
  </si>
  <si>
    <t>PR0061</t>
  </si>
  <si>
    <t>EQUIPAMENTO ULTRASSOM DE ALTA FREQUENCIA VISALIFT ESK-3270MP</t>
  </si>
  <si>
    <t>VISALIFT CARTUCHO 1,5MM</t>
  </si>
  <si>
    <t>VISALIFT CARTUCHO 3,0MM</t>
  </si>
  <si>
    <t>VISALIFT CARTUCHO 4,5MM</t>
  </si>
  <si>
    <t>VISALIFT CARTUCHO 8,0MM</t>
  </si>
  <si>
    <t>VISALIFT CARTUCHO 13,0MM</t>
  </si>
  <si>
    <t>BIOFILS PLA/CL-L MODELO YRMF-PLCUD-2360-L</t>
  </si>
  <si>
    <t>BIOFILS PLA/CL-L MODELO YRMF-PLCUD-2338-L</t>
  </si>
  <si>
    <t>BIOFILS PLA/CL-L MODELO YRN-PLCUD-3025-W</t>
  </si>
  <si>
    <t>BIOFILS PLA/CL-L MODELO YRN-PLCUD-3025</t>
  </si>
  <si>
    <t>BIOFILS PLA/CL-L MODELO YRN-PLCUD-2938</t>
  </si>
  <si>
    <t>BIOFILS PLA/CL-E MODELO YRFG-PLCUD-1938-L</t>
  </si>
  <si>
    <t>BIOFILS PLA/CL-E MODELO YRSC-PLCUD-18100-L</t>
  </si>
  <si>
    <t>BIOFILS PLA/CL-E MODELO YRFE-PLCUD-19100-L</t>
  </si>
  <si>
    <t>BIOFILS PDO-L MODELO YRMF23-03-L</t>
  </si>
  <si>
    <t>BIOFILS PDO-L MODELO YRMF23-01-L</t>
  </si>
  <si>
    <t>BIOFILS PDO-L MODELO YRN30-01</t>
  </si>
  <si>
    <t>BIOFILS PDO-L MODELO YRN30-01-W</t>
  </si>
  <si>
    <t>BIOFILS PDO-L MODELO YRS29-02</t>
  </si>
  <si>
    <t>BIOFILS PDO-E MODELO YRPN19-103-L</t>
  </si>
  <si>
    <t>BIOFILS PDO-E MODELO YRPN18-126-L</t>
  </si>
  <si>
    <t>BIOFILS PDO-E MODELO YRPN19-96-L</t>
  </si>
  <si>
    <t>BIOFILS PLA/CL-DN MODELO YRDN-FE-BL-PLCUD-01</t>
  </si>
  <si>
    <t>CABO DA PECA DE MAO VISALIFT</t>
  </si>
  <si>
    <t>BOLSA ESTERIL PADRAO WHIRL PAK S/ TARJA 18 OZ 532 ML</t>
  </si>
  <si>
    <t>CS00000031</t>
  </si>
  <si>
    <t>CS00000030</t>
  </si>
  <si>
    <t>CS00000039</t>
  </si>
  <si>
    <t>CS00000040</t>
  </si>
  <si>
    <t>CS00000041</t>
  </si>
  <si>
    <t>CS00000042</t>
  </si>
  <si>
    <t>CS00000043</t>
  </si>
  <si>
    <t>CS00000044</t>
  </si>
  <si>
    <t>CS00000047</t>
  </si>
  <si>
    <t>CS00000048</t>
  </si>
  <si>
    <t>CS00000049</t>
  </si>
  <si>
    <t>CS00000050</t>
  </si>
  <si>
    <t>CS00000065</t>
  </si>
  <si>
    <t>CS00000051</t>
  </si>
  <si>
    <t>CS00000064</t>
  </si>
  <si>
    <t>CS00000052</t>
  </si>
  <si>
    <t>CS00000053</t>
  </si>
  <si>
    <t>CS00000054</t>
  </si>
  <si>
    <t>CS00000055</t>
  </si>
  <si>
    <t>CS00000056</t>
  </si>
  <si>
    <t>CS00000057</t>
  </si>
  <si>
    <t>CS00000060</t>
  </si>
  <si>
    <t>CS00000061</t>
  </si>
  <si>
    <t>CS00000062</t>
  </si>
  <si>
    <t>CS00000063</t>
  </si>
  <si>
    <t>BOLSA ESTERIL PADRAO WHIRL PAK S/ TARJA 2 OZ 58 ML</t>
  </si>
  <si>
    <t>BOLSA ESTERIL PADRAO WHIRL PAK S/TARJA 24OZ 710ML</t>
  </si>
  <si>
    <t>ESPATULA DE SILICONE ALTA TEMPERATURA C/GANCHO 26,8CM PRETO/BRANCO</t>
  </si>
  <si>
    <t>ESPATULA DE SILICONE ALTA TEMPERATURA C/GANCHO 42,4CM PRETO/BRANCO</t>
  </si>
  <si>
    <t>ESPONJA LISA C/ 02 UNID</t>
  </si>
  <si>
    <t>ETIQUETA 57X19X1V BOBINA TERMICA</t>
  </si>
  <si>
    <t>FILME PVC 28CMX15M</t>
  </si>
  <si>
    <t>MACACAO TAM G BRANCO TYVEK C/ CAPUZ CA 34187</t>
  </si>
  <si>
    <t>MACACAO TAM M BRANCO TYVEK C/ CAPUZ CA 34187</t>
  </si>
  <si>
    <t>MACACAO TAM XG BRANCO TYVEK C/ CAPUZ CA 34187</t>
  </si>
  <si>
    <t>MACACAO TAM XXG BRANCO TYVEK C/ CAPUZ CA34187</t>
  </si>
  <si>
    <t>OCULOS AMPLA VISAO 611S LENTE POLI TRANSP SALA LIMPA</t>
  </si>
  <si>
    <t>PANO DESCARTAVEL DE LIMPEZA WIPER WYPALL X60 29X34 C/100 UNID</t>
  </si>
  <si>
    <t>PANOS WIPE FIBERUNIQUE BRANCO/AZUL FS60 C/300 UNID</t>
  </si>
  <si>
    <t>PARAFILM M ROLO C/10,16CMX38,10M</t>
  </si>
  <si>
    <t>RIBBON 843520011033BK 3520 SD XTRA BLACK TTR STD 33MMX1100M 15 RLS BOX R</t>
  </si>
  <si>
    <t>RIBBON SD XTRA BLACK TTR 55MMX110M</t>
  </si>
  <si>
    <t>SABONETE 400 SCOTT PURE SPRAY</t>
  </si>
  <si>
    <t>SAPATILHA PROPE BRANCA C/100 UNID</t>
  </si>
  <si>
    <t>AGULHA HIPODERMICA 21G CALIBRE 0,80X25MM</t>
  </si>
  <si>
    <t>ABRACADEIRA 28CM BRANCA C/100 UNID</t>
  </si>
  <si>
    <t>AGULHA 27G 1/2 POL</t>
  </si>
  <si>
    <t>CAIXA DE EMBARQUE ONDA SIMPLES 255X190X170</t>
  </si>
  <si>
    <t>APOIADOR DE DEDOS AZUL EM POLICARBONATO</t>
  </si>
  <si>
    <t>APOIADOR DE DEDOS VERDE EM POLICARBONATO</t>
  </si>
  <si>
    <t>APOIADOR DE DEDOS ROSA EM POLICARBONATO</t>
  </si>
  <si>
    <t>BERCO PET COM EASY OPEN 200MMX400MY TRANSPARENTE</t>
  </si>
  <si>
    <t>FILME DE SELAGEM KIRYALYS FINES LINES WITH LIDOCAINE BOPP+PE EASY OPEN</t>
  </si>
  <si>
    <t>FILME DE SELAGEM  KIRYALYS GLOBAL WITH LIDOCAINE BOPP+PE EASY OPEN</t>
  </si>
  <si>
    <t>FILME DE SELAGEM KIRYALYS VOLUME WITH LIDOCAINE BOPP+PE EASY OPEN</t>
  </si>
  <si>
    <t>FILME DE SELAGEM BIOGELIS FINE LINES WITH LIDOCAINE BOPP+PE EASY OPEN</t>
  </si>
  <si>
    <t>FILME DE SELAGEM BIOGELIS GLOBAL WITH LIDOCAINE BOPP+PE EASY OPEN</t>
  </si>
  <si>
    <t>FILME DE SELAGEM BIOGELIS VOLUME WITH LIDOCAINE BOPP+PE EASY OPEN</t>
  </si>
  <si>
    <t>FILME DE SELAGEM BIOGELIS FINE LINES BOPP+PE EASY OPEN</t>
  </si>
  <si>
    <t>FILME DE SELAGEM BIOGELIS GLOBAL BOPP+PE EASY OPEN</t>
  </si>
  <si>
    <t>FILME DE SELAGEM BIOGELIS VOLUME BOPP+PE EASY OPEN</t>
  </si>
  <si>
    <t>HASTE AZUL POLICARBONATO</t>
  </si>
  <si>
    <t>HASTE VERDE EM POLICARBONATO</t>
  </si>
  <si>
    <t>HASTE ROSA EM POLICARBONATO</t>
  </si>
  <si>
    <t>CARTUCHO KIRIALYS GLOBAL WITH LIDOCAINE 532X742MM</t>
  </si>
  <si>
    <t>CARTUCHO KIRIALYS VOLUME WITH LIDOCAINE 532X742MM</t>
  </si>
  <si>
    <t>CARTUCHO BIOGELIS FINE LINES WITH LIDOCAINE 532X742MM NCC 02 AGULHAS</t>
  </si>
  <si>
    <t>CARTUCHO BIOGELIS GLOBAL WITH LIDOCAINE 532X742MM</t>
  </si>
  <si>
    <t>SACO PLASTICO 13X24X0,10CM P/ AGULHAS HIPODERMICAS 21G 25X0,80MM</t>
  </si>
  <si>
    <t>CAIXA DE EMBARQUE ONDA SIMPLES 390X345X188MM 40UNID</t>
  </si>
  <si>
    <t>CARTUCHO KIRIALYS GLOBAL WITH LIDOCAINE 532X742MM NCC 02 AGULHAS</t>
  </si>
  <si>
    <t>CARTUCHO KIRIALYS VOLUME WITH LIDOCAINE 532X742MM NCC 02 AGULHAS</t>
  </si>
  <si>
    <t>CARTUCHO KIRIALYS FINE LINES WITH LIDOCAINE 532X742MM NCC 02 AGULHAS</t>
  </si>
  <si>
    <t>CARTUCHO BIOGELIS GLOBAL WITH LIDOCAINE 532X742MM NCC 02 AGULHAS</t>
  </si>
  <si>
    <t>CARTUCHO BIOGELIS VOLUME WITH LIDOCAINE 532X742MM NCC 02 AGULHAS</t>
  </si>
  <si>
    <t>ROTULO GRADUADO 1 ML KIRIALYS WITH LIDOCAINE 40X32MM</t>
  </si>
  <si>
    <t>ROTULO GRADUADO 1 ML BIOGELIS WITH LIDOCAINE 40X32MM</t>
  </si>
  <si>
    <t>SELO INMETRO 5,5MMX5,5MM AGULHAS</t>
  </si>
  <si>
    <t>LACRE DE SEGURANÇA 30X17MM 2 CORES</t>
  </si>
  <si>
    <t>AGULHA HIPODERMICA 27GX1/2 POL HPC-27013I</t>
  </si>
  <si>
    <t>AGULHA HIPODERMICA 30GX1/2 POL HPC-30013I</t>
  </si>
  <si>
    <t>APOIADOR DE DEDOS PRETO POLICARBONATO</t>
  </si>
  <si>
    <t>HASTE PRETA POLICARBONATO</t>
  </si>
  <si>
    <t>FILME DE SELAGEM BIOGELIS VOLUMAX WITH LIDOCAINE BOPP+PE EASY OPEN</t>
  </si>
  <si>
    <t>CARTUCHO BIOGELIS VOLUMAX WITH LIDOCAINE 532X742MM NCC 01 AGULHA</t>
  </si>
  <si>
    <t>FILME DE SELAGEM BIOGELIS GLOBAL WITH LIDOCAINE BOPP+PE EASY OPEN COR AZUL MATERIAL DE PROJETO</t>
  </si>
  <si>
    <t>CARTUCHO BIOGELIS VOLUME WITH LIDOCAINE 532X742MM TUV 01 AGULHA</t>
  </si>
  <si>
    <t>HIDROXIDO DE SODIO NAOH PELLETS EMPROVE ESSENTIAL</t>
  </si>
  <si>
    <t>(220892-250G)1,4 BUTANEDIOL DIGLYCIDYL ETHER BDDE LIQUIDO 95% (220892)</t>
  </si>
  <si>
    <t>SOLUCAO ACIDO CLORIDRICO 1N TITRIPUR 1L(1.09057.1000)</t>
  </si>
  <si>
    <t>(1.10165.2500) ACIDO CLORIDRICO 1MOL/L EMPROVE EXPERT 2,5 LITROS</t>
  </si>
  <si>
    <t>KIRIALYS FINE LINES WITH LIDOCAINE 17,5MG/ML+0,3% LIDOCAINA</t>
  </si>
  <si>
    <t>KIRIALYS GLOBAL WITH LIDOCAINE 20 MG/ML+0,3% LIDOCAINA</t>
  </si>
  <si>
    <t>KIRIALYS VOLUME WITH LIDOCAINE 25 MG/ML+0,3% LIDOCAINA</t>
  </si>
  <si>
    <t>BIOGELIS FINE LINES WITH LIDOCAINE 17,5MG/ML+0,3% LIDOCAINA</t>
  </si>
  <si>
    <t>BIOGELIS GLOBAL WITH LIDOCAINE 20 MG/ML+0,3% LIDOCAINA</t>
  </si>
  <si>
    <t>BIOGELIS VOLUME WITH LIDOCAINE 25 MG/ML+0,3% LIDOCAINA</t>
  </si>
  <si>
    <t>BIOGELIS VOLUMAX WITH LIDOCAINE 25 MG/ML+0,3% LIDOCAINA</t>
  </si>
  <si>
    <t>BIOFLEX MICRO CANNULA-22GX50MM 50 UNID PX</t>
  </si>
  <si>
    <t>BIOFLEX MICRO CANNULA-25GX50MM 50 UNID PX</t>
  </si>
  <si>
    <t>BIOFLEX INSULIN SYRINGES 32G-5MM/0,3 ML/CC 100 UNID PX</t>
  </si>
  <si>
    <t>BIOFLEX INSULIN SYRINGES 31G-5MM/1,0 ML/CC 100 UNID PX</t>
  </si>
  <si>
    <t>AGULHA HIPODERMICA 21G CALIBRE 0,80X25MM 100 UNID</t>
  </si>
  <si>
    <t>BIOFLEX MICRO CANNULA-27GX50MM 50 UNID PX</t>
  </si>
  <si>
    <t>HIFU EQUIPAMENTO DE ULTRASSOM DE ALTA FREQUENCIA CWM-940-PH</t>
  </si>
  <si>
    <t>HIFU TRANSDUTORES DE FREQUENCIA DO EQUIPAMENTO DE ULTRASSOM CWM-940-PH</t>
  </si>
  <si>
    <t>HIFU CARTUCHOS DE 7MHZ 1.5MM-PH</t>
  </si>
  <si>
    <t>HIFU CARTUCHOS DE 7MHZ 3MM-PH</t>
  </si>
  <si>
    <t>HIFU CARTUCHOS DE 4MHZ 4.5MM-PH</t>
  </si>
  <si>
    <t>HIFU CARTUCHOS DE 4MHZ 4.5MM-PX</t>
  </si>
  <si>
    <t>HIFU CARTUCHOS DE 7MHZ 3MM-PX</t>
  </si>
  <si>
    <t>HIFU CARTUCHOS DE 7MHZ 1.5MM-PX</t>
  </si>
  <si>
    <t>HIFU EQUIPAMENTO DE ULTRASSOM DE ALTA FREQUENCIA CWM-940-PX (BLOQ)</t>
  </si>
  <si>
    <t>HIFU TRANSDUTORES DE FREQUENCIA DO EQUIPAMENTO DE ULTRASSOM CWM-940-PX(BLOQ)</t>
  </si>
  <si>
    <t>HIFU EQUIPAMENTO DE ULTRASSOM DE ALTA FREQUENCIA CWM-940-PX</t>
  </si>
  <si>
    <t>HIFU TRANSDUTORES DE FREQUENCIA DO EQUIPAMENTO DE ULTRASSOM CWM-940-PX</t>
  </si>
  <si>
    <t>ME00000130</t>
  </si>
  <si>
    <t>CS00000066</t>
  </si>
  <si>
    <t>CS00000059</t>
  </si>
  <si>
    <t>CS00000058</t>
  </si>
  <si>
    <t>MC00000006</t>
  </si>
  <si>
    <t>CARTUCHO BIOGELIS GLOBAL WITH LIDOCAINE 532X742MM NCC 01 AGULHA RTG</t>
  </si>
  <si>
    <t>SASU/6-100/PK BIOINDICADOR STERILAMP II B SUBTILIS 5230 C/100 UNID</t>
  </si>
  <si>
    <t>FITA ADESIVA PERSONALIZADA 72X100MM</t>
  </si>
  <si>
    <t>RIBBON LINX TTR 110 BLACK 33MMX500M</t>
  </si>
  <si>
    <t>PR0059</t>
  </si>
  <si>
    <t>ANGELIS PLLA 365MG</t>
  </si>
  <si>
    <t>PR0057-U</t>
  </si>
  <si>
    <t>BIOFILS PDO-E MODELO YRPN18-126-L POUCH</t>
  </si>
  <si>
    <t>PR0056-U</t>
  </si>
  <si>
    <t>BIOFILS PDO-E MODELO YRPN19-103-L POUCH</t>
  </si>
  <si>
    <t>PR0058-U</t>
  </si>
  <si>
    <t>BIOFILS PDO-E MODELO YRPN19-96-L POUCH</t>
  </si>
  <si>
    <t>PR0052-U</t>
  </si>
  <si>
    <t>BIOFILS PDO-L MODELO YRMF23-01-L POUCH</t>
  </si>
  <si>
    <t>PR0051-U</t>
  </si>
  <si>
    <t>BIOFILS PDO-L MODELO YRMF23-03-L POUCH</t>
  </si>
  <si>
    <t>PR0055-U</t>
  </si>
  <si>
    <t>BIOFILS PDO-L MODELO YRS29-02 POUCH</t>
  </si>
  <si>
    <t>PR0060-U</t>
  </si>
  <si>
    <t>BIOFILS PLA/CL-DN MODELO YRDN-FE-BL-PLCUD-01 POUCH</t>
  </si>
  <si>
    <t>PR0050-U</t>
  </si>
  <si>
    <t>BIOFILS PLA/CL-E MODELO YRFE-PLCUD-19100-L POUCH</t>
  </si>
  <si>
    <t>PR0048-U</t>
  </si>
  <si>
    <t>BIOFILS PLA/CL-E MODELO YRFG-PLCUD-1938-L POUCH</t>
  </si>
  <si>
    <t>PR0049-U</t>
  </si>
  <si>
    <t>BIOFILS PLA/CL-E MODELO YRSC-PLCUD-18100-L POUCH</t>
  </si>
  <si>
    <t>PR0044-U</t>
  </si>
  <si>
    <t>BIOFILS PLA/CL-L MODELO YRMF-PLCUD-2338-L POUCH</t>
  </si>
  <si>
    <t>PR0043-U</t>
  </si>
  <si>
    <t>BIOFILS PLA/CL-L MODELO YRMF-PLCUD-2360-L POUCH</t>
  </si>
  <si>
    <t>PR0047-U</t>
  </si>
  <si>
    <t>BIOFILS PLA/CL-L MODELO YRN-PLCUD-2938 POUCH</t>
  </si>
  <si>
    <t>PR0046-U</t>
  </si>
  <si>
    <t>BIOFILS PLA/CL-L MODELO YRN-PLCUD-3025 POUCH</t>
  </si>
  <si>
    <t>PR0045-U</t>
  </si>
  <si>
    <t>BIOFILS PLA/CL-L MODELO YRN-PLCUD-3025-W POUCH</t>
  </si>
  <si>
    <t>ME00000135</t>
  </si>
  <si>
    <t>ME00000137</t>
  </si>
  <si>
    <t>ME00000139</t>
  </si>
  <si>
    <t>PR0053-U</t>
  </si>
  <si>
    <t>PR0054-U</t>
  </si>
  <si>
    <t>HASTE ROSA EM POLICARBONATO - ME00000135</t>
  </si>
  <si>
    <t>HASTE VERDE EM POLICARBONATO - ME00000137</t>
  </si>
  <si>
    <t>BIOFILS PDO-L MODELO YRN30-01 POUCH</t>
  </si>
  <si>
    <t>BIOFILS PDO-L MODELO YRN30-01-W POUCH</t>
  </si>
  <si>
    <t>DD00000433</t>
  </si>
  <si>
    <t>HIDROXIAPATITA DE CALCIO</t>
  </si>
  <si>
    <t>ME00000142</t>
  </si>
  <si>
    <t>ETIQUETA DE ADEQUACAO VOLUME ME00000078 PARA ME00000132</t>
  </si>
  <si>
    <t>ME00000143</t>
  </si>
  <si>
    <t>ETIQUETA ADEQUACAO GLOBAL ME00000077 PARA ME00000131</t>
  </si>
  <si>
    <t>ME00000146</t>
  </si>
  <si>
    <t>ETIQUETA DE ADEQUACAO RT VOLUME ME00000106</t>
  </si>
  <si>
    <t>CS00000073</t>
  </si>
  <si>
    <t>PAPEL CREPADO VERDE 750x750 C/ 250 FOLHAS</t>
  </si>
  <si>
    <t>CS00000074</t>
  </si>
  <si>
    <t>PAPEL CREPADO VERDE 900x900 C/ 250 FOLHAS</t>
  </si>
  <si>
    <t>Saldo Log</t>
  </si>
  <si>
    <t>MC00000002</t>
  </si>
  <si>
    <t>ALCOOL ISOPROPILICO 70% ESTERIL4X5L</t>
  </si>
  <si>
    <t>CS00000080</t>
  </si>
  <si>
    <t>ETIQUETA LOTE 28X30MM</t>
  </si>
  <si>
    <t>ME00000147</t>
  </si>
  <si>
    <t>ME00000148</t>
  </si>
  <si>
    <t>ME00000149</t>
  </si>
  <si>
    <t>ME00000150</t>
  </si>
  <si>
    <t>ME00000151</t>
  </si>
  <si>
    <t>CARTUCHO FINE LINES WITH LIDOCAINE TUV 01 AGULHA RTG 1.25 - NOVO DESIGN</t>
  </si>
  <si>
    <t>CARTUCHO GLOBAL WITH LIDOCAINE TUV 01 AGULHA RTG 1.25 - NOVO DESIGN</t>
  </si>
  <si>
    <t>CARTUCHO VOLUME WITH LIDOCAINE TUV 01 AGULHA RTG 1.25 - NOVO DESIGN</t>
  </si>
  <si>
    <t>CARTUCHO VOLUMAX WITH LIDOCAINE NCC 01 AGULHA RTG 1.00 - NOVO DESIGN</t>
  </si>
  <si>
    <t>CARTUCHO FINE LINES WITH LIDOCAINE NCC 02 AGULHA RTG 1.00 - NOVO DESIGN</t>
  </si>
  <si>
    <t>PA0018</t>
  </si>
  <si>
    <t>BIOGELIS GLOBAL WITH LIDOCAINE 20MG/ML+0,3% LIDOCAINA 1,25 ML</t>
  </si>
  <si>
    <t>PA0019</t>
  </si>
  <si>
    <t>BIOGELIS VOLUME WITH LIDOCAINE 25 MG/ML+0,3% LIDOCAINE 1,25 ML</t>
  </si>
  <si>
    <t>ME00000136</t>
  </si>
  <si>
    <t>HASTE PRETA EM POLICARBONATO - ME00000136</t>
  </si>
  <si>
    <t>ME00000152</t>
  </si>
  <si>
    <t>FRASCO AMPOLA 10ML</t>
  </si>
  <si>
    <t>CS00000076</t>
  </si>
  <si>
    <t>ROLO DE ENCHIMENTO</t>
  </si>
  <si>
    <t>MP00000012</t>
  </si>
  <si>
    <t>FOSFATO DE SODIO DIBASICO DODECAHIDRATADO (1.06579.1000)</t>
  </si>
  <si>
    <t>PA0022</t>
  </si>
  <si>
    <t>BIOGELIS GLOBAL WITH LIDOCAINE 20MG/ML+0,3% LIDOCAINA 1,25 ML - Exportação</t>
  </si>
  <si>
    <t>PA0023</t>
  </si>
  <si>
    <t>BIOGELIS VOLUME WITH LIDOCAINE 25 MG/ML+0,3% LIDOCAINE 1,25 ML - Exportação</t>
  </si>
  <si>
    <t>PR0062</t>
  </si>
  <si>
    <t>ANGELIS PLLA 365MG - EXPORTAÇÃO</t>
  </si>
  <si>
    <t>PR0066</t>
  </si>
  <si>
    <t>BIOFILS PLA/CL-L MODELO YRN-PLCUD-3025 - EXPORTAÇÃO</t>
  </si>
  <si>
    <t>AT</t>
  </si>
  <si>
    <t>AT00000679</t>
  </si>
  <si>
    <t>AT00000680</t>
  </si>
  <si>
    <t>Entrega Futura</t>
  </si>
  <si>
    <t>CS00000028</t>
  </si>
  <si>
    <t>ME00000138</t>
  </si>
  <si>
    <t>ME00000157</t>
  </si>
  <si>
    <t>ME00000161</t>
  </si>
  <si>
    <t>ME00000165</t>
  </si>
  <si>
    <t>ME00000167</t>
  </si>
  <si>
    <t>ME00000172</t>
  </si>
  <si>
    <t>ETIQUETA BOPP BC  FOSCO 100X150</t>
  </si>
  <si>
    <t>HASTE AZUL EM POLICARBONATO - ME00000138</t>
  </si>
  <si>
    <t>APOIADOR DE DEDOS FOSCO TRANSPARENTE 3 ML</t>
  </si>
  <si>
    <t>HASTE TRANSPARENTE (SCHOTT) 3ML</t>
  </si>
  <si>
    <t>CARTUCHO BIOGELIS VOLUME WITH LIDOCAINE - 1ML / 2 AGULHAS 27G TSK - NOVO LAYOUT</t>
  </si>
  <si>
    <t>CARTUCHO JOINTS MULTI 3,0 ML</t>
  </si>
  <si>
    <t>Disponível</t>
  </si>
  <si>
    <t>&lt;DIF&gt;</t>
  </si>
  <si>
    <t>Total SAP</t>
  </si>
  <si>
    <t>D - CT 3244</t>
  </si>
  <si>
    <t>C - CT     504</t>
  </si>
  <si>
    <t>N</t>
  </si>
  <si>
    <t>Valor Referente a Consumo de Produção Mês anterior, processo de envase.</t>
  </si>
  <si>
    <t>PA0016</t>
  </si>
  <si>
    <t>PR0063</t>
  </si>
  <si>
    <t>BIOFILS PLA/CL-L MODELO YRMF-PLCUD-2360-L - EXPORTAÇÃO</t>
  </si>
  <si>
    <t>PR0065</t>
  </si>
  <si>
    <t>BIOFILS PLA/CL-L MODELO YRN-PLCUD-3025-W - EXPORTAÇÃO</t>
  </si>
  <si>
    <t>PR0067</t>
  </si>
  <si>
    <t>BIOFILS PLA/CL-L MODELO YRN-PLCUD-2938 - EXPORTAÇÃO</t>
  </si>
  <si>
    <t>PR0068</t>
  </si>
  <si>
    <t>BIOFILS PLA/CL-E MODELO YRFG-PLCUD-1938-L - EXPORTAÇÃO</t>
  </si>
  <si>
    <t>PR0070</t>
  </si>
  <si>
    <t>BIOFILS PLA/CL-E MODELO YRFE-PLCUD-19100-L - EXPORTAÇÃO</t>
  </si>
  <si>
    <t>PR0071</t>
  </si>
  <si>
    <t>BIOFILS PDO-L MODELO YRMF23-03-L - EXPORTAÇÃO</t>
  </si>
  <si>
    <t>PR0072</t>
  </si>
  <si>
    <t>BIOFILS PDO-L MODELO YRMF23-01-L - EXPORTAÇÃO</t>
  </si>
  <si>
    <t>PR0073</t>
  </si>
  <si>
    <t>BIOFILS PDO-L MODELO YRN30-01 - EXPORTAÇÃO</t>
  </si>
  <si>
    <t>PR0074</t>
  </si>
  <si>
    <t>BIOFILS PDO-L MODELO YRN30-01-W - EXPORTAÇÃO</t>
  </si>
  <si>
    <t>PR0075</t>
  </si>
  <si>
    <t>BIOFILS PDO-L MODELO YRS29-02 - EXPORTAÇÃO</t>
  </si>
  <si>
    <t>PR0076</t>
  </si>
  <si>
    <t>BIOFILS PDO-E MODELO YRPN19-103-L - EXPORTAÇÃO</t>
  </si>
  <si>
    <t>PR0077</t>
  </si>
  <si>
    <t>BIOFILS PDO-E MODELO YRPN18-126-L - EXPORTAÇÃO</t>
  </si>
  <si>
    <t>PR0078</t>
  </si>
  <si>
    <t>BIOFILS PDO-E MODELO YRPN19-96-L - EXPORTAÇÃO</t>
  </si>
  <si>
    <t>PR0079</t>
  </si>
  <si>
    <t>BIOFILS PLA/CL-DN MODELO YRDN-FE-BL-PLCUD-01 - EXPORTAÇÃO</t>
  </si>
  <si>
    <t>PR0089</t>
  </si>
  <si>
    <t>BIOFLEX MICRO CANNULA 22GX50MM 50 UNI PX - EXPORTAÇÃO</t>
  </si>
  <si>
    <t>ME00000176</t>
  </si>
  <si>
    <t>FILME DE SELAGEM JOINTS MULTI 3,0 ML</t>
  </si>
  <si>
    <t>ME00000166</t>
  </si>
  <si>
    <t>CARTUCHO BIOGELIS GLOBAL WITH LIDOCAINE - 1ML / 2 AGULHAS 30G TSK - NOVO LAYOUT</t>
  </si>
  <si>
    <t>ME00000155</t>
  </si>
  <si>
    <t>FILME DE SELAGEM VOLUME WITH LIDOCAINE BOPP+PE+EASY OPEN</t>
  </si>
  <si>
    <t>ME00000002</t>
  </si>
  <si>
    <t>AGULHA 30G 1/2</t>
  </si>
  <si>
    <t>MC00000007</t>
  </si>
  <si>
    <t>CS00000075</t>
  </si>
  <si>
    <t>PAPEL PARA IMPRESSORA MATRICIAL 57MM X 22M (CAIXA C/30 UN)</t>
  </si>
  <si>
    <t>Valor total</t>
  </si>
  <si>
    <t>Valor unit</t>
  </si>
  <si>
    <t>NF</t>
  </si>
  <si>
    <t>FORNECEDOR</t>
  </si>
  <si>
    <t>QUANTIDADE</t>
  </si>
  <si>
    <t>MP00000013</t>
  </si>
  <si>
    <t>HIDROXIAPATITA DE CALCIO (EPRUI)</t>
  </si>
  <si>
    <t>PA0017</t>
  </si>
  <si>
    <t>Ag. Liberação GQ</t>
  </si>
  <si>
    <t>AT00000043</t>
  </si>
  <si>
    <t>HIFU TRANSDUTORES DE FREQUENCIA DO EQUIPAMENTO DE ULTRASSOM CWM-940 PH</t>
  </si>
  <si>
    <t>AT00000044</t>
  </si>
  <si>
    <t>HIFU EQUIPAMENTO DE ULTRASSOM DE ALTA FREQUENCIA CWM-940 PH</t>
  </si>
  <si>
    <t>CS00000081</t>
  </si>
  <si>
    <t>ALCOOL SPRAY 300ML SCOTT REFIL</t>
  </si>
  <si>
    <t>MC00000008</t>
  </si>
  <si>
    <t>SA/6 BIOINDICADOR STERILAMP II G STEAROTHERMOPHILUS 7953</t>
  </si>
  <si>
    <t>ME00000153</t>
  </si>
  <si>
    <t>FILME DE SELAGEM FINE LINES WITH LIDOCAINE BOPP+PE+EASY OPEN</t>
  </si>
  <si>
    <t>ME00000156</t>
  </si>
  <si>
    <t>FILME DE SELAGEM VOLUMAX WITH LIDOCAINE BOPP+PE+EASY OPEN</t>
  </si>
  <si>
    <t>FITA ADESIVA AUTOCLAVE - ZEBRADA INDICADOR CLASSE 1 - FABRICANTE: CREMER</t>
  </si>
  <si>
    <t>LUVA CIRURGICA ESTÉRIL S/PO - TAM 7,0 (PAR) - FABRICANTE: MUCAMBO SENSIFREE</t>
  </si>
  <si>
    <t>LUVA CIRURGICA ESTÉRIL S/PO - TAM 7,5 (PAR) - FABRICANTE: MUCAMBO SENSIFREE</t>
  </si>
  <si>
    <t>LUVA CIRURGICA ESTÉRIL S/PO - TAM 8,0 (PAR) - FABRICANTE: MUCAMBO SENSIFREE</t>
  </si>
  <si>
    <t>LUVA CIRURGICA ESTÉRIL S/PO - TAM 8,5 (PAR) - FABRICANTE: MUCAMBO SENSIFREE</t>
  </si>
  <si>
    <t>LUVA DESCARTAVEL S/ PO N/CIRURGICO - TAM G (C/100 UN) - FABRICANTE: SUPERMAX SONIC / SUPER SAFETY BIO</t>
  </si>
  <si>
    <t>LUVA DESCARTAVEL TAM M N/CIRURGICO S/PO C/100 UNID</t>
  </si>
  <si>
    <t>MASCARA CIRURGICA TRIPLA C/ELASTICO (C/ 50 UN) - FABRICANTE: DESCARPACK</t>
  </si>
  <si>
    <t>PAPEL GRAU CIRURGICO 10CMX100M</t>
  </si>
  <si>
    <t>PAPEL GRAU CIRURGICO 30CMX100M</t>
  </si>
  <si>
    <t>PAPEL GRAU CIRURGICO 50CMX100M</t>
  </si>
  <si>
    <t>RIBBON RESINA EXTERNO PRETO 110MMX74M</t>
  </si>
  <si>
    <t>FILTRO SUPERIOR DE GARRAFA C/ ROSCA STERITOP 12 UNID S2GPT10RE</t>
  </si>
  <si>
    <t>FRASCO C/ TAMPA DE ROSCA PP AUTOCLAVAVEL/ESTERILIZAVEL 625ML</t>
  </si>
  <si>
    <t>MANGUEIRA DE DIALISE 6.40X9.50 C/15M</t>
  </si>
  <si>
    <t>ETIQUETA BRANCA 75MMX45MM DUPLO USO C/1000 UNID</t>
  </si>
  <si>
    <t>ETIQUETA BOPP 210 BC FOSCO C/SERRILHA 70X20 C/2000 UNID</t>
  </si>
  <si>
    <t>ETIQUETA BOPP BC FOSCO 100X60 C/667 UNID</t>
  </si>
  <si>
    <t>LUVA DESCARTAVEL S/ PO N/CIRURGICO - TAM P (C/100 UN) - FABRICANTE: SUPERMAX SONIC / SUPER SAFETY BIO</t>
  </si>
  <si>
    <t>PAPEL CREPADO VERDE 600X600 C/500 FOLHAS</t>
  </si>
  <si>
    <t>PAPEL CREPADO VERDE 300X300MM C/ 500 FOLHAS</t>
  </si>
  <si>
    <t>ALCOOL ISOPROPILICO 70% 1L NAO ESTERIL</t>
  </si>
  <si>
    <t>PAPEL GRAU CIRURGICO 15CMX100M</t>
  </si>
  <si>
    <t>PAPEL GRAU CIRURGICO 05CMX100M</t>
  </si>
  <si>
    <t>MEMBRANA DE DIALISE</t>
  </si>
  <si>
    <t>CLIP MEMBRANA</t>
  </si>
  <si>
    <t>AVENTAL PVC M/L S/ FORRO IMPERMEAVEL</t>
  </si>
  <si>
    <t>AVENTAL TREVIRA BRANCO KP300 70X120 IMPERMEAVEL S/ MANGA</t>
  </si>
  <si>
    <t>ELASTICO DE REPOSICAO P/ OCULOS MOD 611 - FABRICANTE: UNIVET</t>
  </si>
  <si>
    <t>FITA CREPE 24MMX50M - FABRICANTE: 3M / CREMER</t>
  </si>
  <si>
    <t>FRASCO EM PP ESTERIL TRANSPARENTE 50ML</t>
  </si>
  <si>
    <t>FITA CREPE 48MMX50M - FABRICANTE: 3M / CREMER</t>
  </si>
  <si>
    <t>PIPETA PASTEUR 3 ML ESTERIL (C/ 100 UN) - MODELO K30-300S - FABRICANTE: OLEN</t>
  </si>
  <si>
    <t>PROTETOR DE BARBA (C/ 100 UN) - FABRICANTE: PREVEMAX</t>
  </si>
  <si>
    <t>RIBBON EXTERNO PRETO 110MMX300M Z400</t>
  </si>
  <si>
    <t>SAPATILHA PROPE BRANCA (C/ 100 UN) - FABRICANTE: PROTDESC</t>
  </si>
  <si>
    <t>TOUCA DESCARTAVEL (C/ 100 UN) - FABRICANTE: PROTDESC</t>
  </si>
  <si>
    <t>TOUCA SANFONADA BRANCA DESCARTAVEL C/100 UNID</t>
  </si>
  <si>
    <t>FILME PVC 28CMX30M</t>
  </si>
  <si>
    <t>FITA CREPE BRANCA 24MMX50M</t>
  </si>
  <si>
    <t>PROTETOR DE BARBA TNT C/ 100 UNID</t>
  </si>
  <si>
    <t>BOLSA ESTERIL PADRAO WHIRL-PAK S/ TARJA 2 OZ.58ML</t>
  </si>
  <si>
    <t>BOLSA ESTERIL PADRAO WHIRL-PAK S/ TARJA 18 OZ.532ML</t>
  </si>
  <si>
    <t>RELE ZELIO 4CR 24VCC 6A C/LED S/BASE</t>
  </si>
  <si>
    <t>FILTRO DE SAIDA R5 RA0016-KB0010/0016/0020D/0025F</t>
  </si>
  <si>
    <t>ESPONJA LISA 60 PCTO C/ 02 UNID</t>
  </si>
  <si>
    <t>PLASTICO FURACAO UNIVERSAL A4 13 FUROS LISO</t>
  </si>
  <si>
    <t>ABRACADEIRA 4,6X390MM C/100 UNID</t>
  </si>
  <si>
    <t>ADIANTAMENTO PIS</t>
  </si>
  <si>
    <t>PANO DESCARTAVEL X60 29X34CM</t>
  </si>
  <si>
    <t>JALECO DESCARTAVEL TNT C/10 UNID</t>
  </si>
  <si>
    <t>PARAFILM M. ROLO C/ 10,16 CM X 38,10M</t>
  </si>
  <si>
    <t>PARAFUSO SEXTAVADO M5X50 INOX</t>
  </si>
  <si>
    <t>PISO A ACET EGEU BRANCO 44,5X44,5</t>
  </si>
  <si>
    <t>PADRAO CLORIDRATO LIDOCAINA PHR1257 500MG</t>
  </si>
  <si>
    <t>PADRAO 2,6-DIMETILANILINA PHR2572 50MG</t>
  </si>
  <si>
    <t>AMARONE DELLA VALPOLICELLA CLASSICO 2004 TTO GIUSEPPE QUINTARELLI</t>
  </si>
  <si>
    <t>AVENTAL TNT BRANCO C/ VELCRO M/L ELASTICO PUNHOS</t>
  </si>
  <si>
    <t>CAMISA TNT BRANCA M/L C/ ELASTICO TAM UNICO</t>
  </si>
  <si>
    <t>AVENTAL TREVIRA BRANCO KP300 70X120 IPERMEAVEL S/ MANGA</t>
  </si>
  <si>
    <t>TAMPA B/18 C/ LACRE PRETA</t>
  </si>
  <si>
    <t>INVERSOR DE FREQUENCIA VLT 2800 10,6A</t>
  </si>
  <si>
    <t>CAIXA DOBRAVEL EXTERNA 60X40X23CM INTERNA 56X36X22CM</t>
  </si>
  <si>
    <t>SASU/6-100/PK BIOINDICADOR STERILAMP II B. SUBTILIS '5230 C/100 UNID</t>
  </si>
  <si>
    <t>COLA BASTAO 21G</t>
  </si>
  <si>
    <t>CADEIRA ADRIX MEC RELAX BASE DIR PIRAMIDAL RPU T57 CINZA DG T170 PRETO</t>
  </si>
  <si>
    <t>RIBBON RESINA EXTERNO PRETO 110MMX74M Z400</t>
  </si>
  <si>
    <t>REHAU BORDA PVC CARVALHO CANELA RAIZES 65MMX20M</t>
  </si>
  <si>
    <t>DOBRADICA PRESSAO FGVTN CLICK SLOW ALTA 110GR H2</t>
  </si>
  <si>
    <t>PLACA PISO UNHA 4X2 P/1 TOM RED INOX P142TU</t>
  </si>
  <si>
    <t>ACIDO CLORIDRICO SOL 1N TITRIPUR REG RH EUR REAG HCL=1MOL/L 1N</t>
  </si>
  <si>
    <t>DIVERSOS</t>
  </si>
  <si>
    <t>QUADRO EM ACRILICO C/ CINCO DUCHAS OFTALMOLOGICAS 500ML</t>
  </si>
  <si>
    <t>CARTAO DE PROXIMIDADE RFID 125 KHZ TH 2000</t>
  </si>
  <si>
    <t>MEMBRANA P/ VALVULA DIAFRAGMA 600 25M17</t>
  </si>
  <si>
    <t>SACO P/ LIXO 40L AZUL C/100 UNID</t>
  </si>
  <si>
    <t>MINI DISJUNTOR C 1P10A 3KA</t>
  </si>
  <si>
    <t>CAMISETA POLIVISCOSE M/C AZUL MARINHO TAM GG MECANICO</t>
  </si>
  <si>
    <t>PLACA EPS ISOPOR 50X100CMX10MM</t>
  </si>
  <si>
    <t>FITA IMPRESSORA EP-100</t>
  </si>
  <si>
    <t>ACOPLAMENTO GROOVE 2 POL</t>
  </si>
  <si>
    <t>ATUADOR PROPORCIONAL GDE 161.1P</t>
  </si>
  <si>
    <t>SAQUINHO P/ DESCARTE DE ASORVENTE C/25 UNID</t>
  </si>
  <si>
    <t>SABONETE ESPUMA ERVA DOCE REFIL 500ML</t>
  </si>
  <si>
    <t>ATUADOR DE SEGURANÇA AS-I (TIPO: MZM 100-B1.1) 6516640000</t>
  </si>
  <si>
    <t>DESINFETANTE PLURON HIDROXYSEPT 5L</t>
  </si>
  <si>
    <t>ALCOOL ISOPROPILICO 70% ESTERIL12X1L</t>
  </si>
  <si>
    <t>DETERGENTE ALCALINO CIP100 3,78L C/ 4 UNID</t>
  </si>
  <si>
    <t>DIVOSAN DIVOSEPT 350 BOMBONA 25L/25KG</t>
  </si>
  <si>
    <t>SOLUCAO DE NAOH 1%</t>
  </si>
  <si>
    <t>CILINDROS DE VIDRO ESTEREIS PARA SERINGAS 3ML RF LTLL SRC H FM27/0</t>
  </si>
  <si>
    <t>APOIADOR DE DEDOS EM PLASTICO PARA CILINDROS SERINGAS 3ML</t>
  </si>
  <si>
    <t>EMBOLO PLASTICO PARA CILINDROS SERINGAS 3ML</t>
  </si>
  <si>
    <t>VEDACAO DE BORRACHA STOPPER/SERINGAS PARA CILINDROS 3ML</t>
  </si>
  <si>
    <t>ROTULO GRADUADO BIOGELIS WITH LIDOCAINE 1,30 ML 44X22 - ME00000139</t>
  </si>
  <si>
    <t>ROTULO GRADUADO JOINTS MULTI</t>
  </si>
  <si>
    <t>JOINTS MULTI 3ML - Solução para preenchimento intra-articular</t>
  </si>
  <si>
    <t>BIOGELIS FINE LINES WITH LIDOCAINE 17,5 MG/ML+0,3% LIDOCAINA 1,25 ML</t>
  </si>
  <si>
    <t>PEÇAS SOBRESSALENTES</t>
  </si>
  <si>
    <t>Sobressalente</t>
  </si>
  <si>
    <t>Lançamentos Insumos de produção referente ao Mês 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</si>
</sst>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E6F5"/>
        <bgColor theme="4" tint="0.79998168889431442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hair">
        <color auto="1"/>
      </left>
      <right/>
      <top/>
      <bottom style="thin">
        <color theme="4" tint="0.3999755851924192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44" fontId="6" fillId="0" borderId="0" xfId="2" applyFont="1"/>
    <xf numFmtId="0" fontId="7" fillId="5" borderId="0" xfId="0" applyFont="1" applyFill="1" applyAlignment="1">
      <alignment horizontal="centerContinuous"/>
    </xf>
    <xf numFmtId="44" fontId="7" fillId="5" borderId="0" xfId="2" applyFont="1" applyFill="1" applyAlignment="1">
      <alignment horizontal="centerContinuous"/>
    </xf>
    <xf numFmtId="0" fontId="6" fillId="0" borderId="4" xfId="0" applyFont="1" applyBorder="1"/>
    <xf numFmtId="44" fontId="9" fillId="0" borderId="0" xfId="2" applyFont="1"/>
    <xf numFmtId="0" fontId="10" fillId="0" borderId="0" xfId="0" applyFont="1"/>
    <xf numFmtId="0" fontId="11" fillId="3" borderId="1" xfId="0" applyFont="1" applyFill="1" applyBorder="1" applyAlignment="1">
      <alignment horizontal="center"/>
    </xf>
    <xf numFmtId="0" fontId="8" fillId="0" borderId="0" xfId="0" applyFont="1"/>
    <xf numFmtId="0" fontId="8" fillId="4" borderId="3" xfId="0" applyFont="1" applyFill="1" applyBorder="1" applyAlignment="1">
      <alignment horizontal="centerContinuous" wrapText="1"/>
    </xf>
    <xf numFmtId="0" fontId="8" fillId="4" borderId="2" xfId="0" applyFont="1" applyFill="1" applyBorder="1" applyAlignment="1">
      <alignment horizontal="centerContinuous" wrapText="1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3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44" fontId="8" fillId="0" borderId="1" xfId="2" applyFont="1" applyBorder="1" applyAlignment="1">
      <alignment horizontal="center"/>
    </xf>
    <xf numFmtId="166" fontId="6" fillId="0" borderId="0" xfId="0" applyNumberFormat="1" applyFont="1"/>
    <xf numFmtId="44" fontId="6" fillId="0" borderId="0" xfId="0" applyNumberFormat="1" applyFont="1"/>
    <xf numFmtId="3" fontId="6" fillId="0" borderId="0" xfId="0" applyNumberFormat="1" applyFont="1"/>
    <xf numFmtId="166" fontId="6" fillId="0" borderId="0" xfId="5" applyNumberFormat="1" applyFont="1" applyBorder="1" applyAlignment="1">
      <alignment horizontal="center"/>
    </xf>
    <xf numFmtId="3" fontId="4" fillId="0" borderId="0" xfId="0" applyNumberFormat="1" applyFont="1"/>
    <xf numFmtId="0" fontId="6" fillId="2" borderId="0" xfId="0" applyFont="1" applyFill="1"/>
    <xf numFmtId="3" fontId="4" fillId="0" borderId="0" xfId="0" applyNumberFormat="1" applyFont="1" applyAlignment="1">
      <alignment horizontal="center"/>
    </xf>
    <xf numFmtId="166" fontId="7" fillId="3" borderId="0" xfId="5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3" fontId="14" fillId="3" borderId="0" xfId="0" applyNumberFormat="1" applyFont="1" applyFill="1" applyAlignment="1">
      <alignment horizontal="center"/>
    </xf>
    <xf numFmtId="44" fontId="5" fillId="0" borderId="0" xfId="2" applyFont="1"/>
    <xf numFmtId="43" fontId="6" fillId="0" borderId="0" xfId="1" applyFont="1" applyAlignment="1"/>
    <xf numFmtId="166" fontId="13" fillId="7" borderId="6" xfId="5" applyNumberFormat="1" applyFont="1" applyFill="1" applyBorder="1" applyAlignment="1">
      <alignment horizontal="center"/>
    </xf>
    <xf numFmtId="3" fontId="14" fillId="2" borderId="0" xfId="0" applyNumberFormat="1" applyFont="1" applyFill="1" applyAlignment="1">
      <alignment horizontal="center"/>
    </xf>
    <xf numFmtId="44" fontId="13" fillId="7" borderId="6" xfId="2" applyFont="1" applyFill="1" applyBorder="1" applyAlignment="1">
      <alignment horizontal="right"/>
    </xf>
    <xf numFmtId="0" fontId="13" fillId="7" borderId="0" xfId="0" applyFont="1" applyFill="1"/>
    <xf numFmtId="44" fontId="13" fillId="7" borderId="6" xfId="2" applyFont="1" applyFill="1" applyBorder="1" applyAlignment="1">
      <alignment horizontal="center"/>
    </xf>
    <xf numFmtId="0" fontId="17" fillId="7" borderId="0" xfId="0" applyFont="1" applyFill="1"/>
    <xf numFmtId="44" fontId="17" fillId="6" borderId="6" xfId="2" applyFont="1" applyFill="1" applyBorder="1" applyAlignment="1">
      <alignment horizontal="center"/>
    </xf>
  </cellXfs>
  <cellStyles count="9">
    <cellStyle name="Moeda" xfId="2" builtinId="4"/>
    <cellStyle name="Moeda 2" xfId="4" xr:uid="{2893C8CE-F2B0-490A-8F18-4028A4B58E10}"/>
    <cellStyle name="Moeda 2 2" xfId="8" xr:uid="{6275BE11-0F13-4B3A-900A-CBC58F8BF8E1}"/>
    <cellStyle name="Normal" xfId="0" builtinId="0"/>
    <cellStyle name="Normal 2" xfId="6" xr:uid="{17A3DBD4-2C97-443B-8DE7-42D165F72919}"/>
    <cellStyle name="Normal 3" xfId="7" xr:uid="{C347190C-A6C2-4817-B584-75A69D96DD67}"/>
    <cellStyle name="Vírgula" xfId="1" builtinId="3"/>
    <cellStyle name="Vírgula 2" xfId="3" xr:uid="{1245FAA5-9176-490D-A2FB-DBDE0F63BEDD}"/>
    <cellStyle name="Vírgula 3" xfId="5" xr:uid="{2ABBBE42-C75C-4250-B00C-430424A44B08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2"/>
        </patternFill>
      </fill>
    </dxf>
  </dxfs>
  <tableStyles count="2" defaultTableStyle="TableStyleMedium2" defaultPivotStyle="PivotStyleLight16">
    <tableStyle name="Estilo de Segmentação de Dados 1" pivot="0" table="0" count="0" xr9:uid="{3DF1343F-4137-40B3-B80B-EBAE72387DBB}"/>
    <tableStyle name="Estilo de Tabela 1" pivot="0" count="1" xr9:uid="{770A01DA-272D-4FA2-AFFC-F628210FE406}">
      <tableStyleElement type="firstRowStripe" dxfId="11"/>
    </tableStyle>
  </tableStyles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ego  Machado" id="{29C4F66D-9C3D-45F4-A1EF-D0ABA62D0021}" userId="S::d.machado@pharmaesthetics.com.br::6d76caa6-6971-4109-b8ff-b09c69f0bca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4-07-12T16:24:49.01" personId="{29C4F66D-9C3D-45F4-A1EF-D0ABA62D0021}" id="{B71E22A3-1229-4055-B6D5-179CD9AF5329}">
    <text>Fonte: F5 - Aba Fechamentos</text>
  </threadedComment>
  <threadedComment ref="M4" dT="2024-07-12T16:24:59.37" personId="{29C4F66D-9C3D-45F4-A1EF-D0ABA62D0021}" id="{E41A6E02-803E-465E-84B2-3B7BA7D6A04F}">
    <text>Fonte: F5 - Aba Fechamentos</text>
  </threadedComment>
  <threadedComment ref="W233" dT="2025-06-17T15:09:36.56" personId="{29C4F66D-9C3D-45F4-A1EF-D0ABA62D0021}" id="{BD463D10-C4C2-41BA-B654-2B87AB707E01}">
    <text>Inventário fisico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2D05-7037-454B-9FAD-A3153BC36468}">
  <dimension ref="A1:X334"/>
  <sheetViews>
    <sheetView showGridLines="0" tabSelected="1" zoomScaleNormal="100" workbookViewId="0">
      <pane xSplit="1" ySplit="6" topLeftCell="B222" activePane="bottomRight" state="frozen"/>
      <selection activeCell="E5" sqref="E5:Q5"/>
      <selection pane="topRight" activeCell="E5" sqref="E5:Q5"/>
      <selection pane="bottomLeft" activeCell="E5" sqref="E5:Q5"/>
      <selection pane="bottomRight" activeCell="Q235" sqref="Q235"/>
    </sheetView>
  </sheetViews>
  <sheetFormatPr defaultColWidth="13.140625" defaultRowHeight="11.25" x14ac:dyDescent="0.2"/>
  <cols>
    <col min="1" max="1" width="2.140625" style="3" customWidth="1"/>
    <col min="2" max="2" width="4.140625" style="14" customWidth="1"/>
    <col min="3" max="3" width="13.140625" style="3"/>
    <col min="4" max="4" width="86.7109375" style="3" bestFit="1" customWidth="1"/>
    <col min="5" max="5" width="9.5703125" style="3" hidden="1" customWidth="1"/>
    <col min="6" max="6" width="11.5703125" style="3" hidden="1" customWidth="1"/>
    <col min="7" max="7" width="13.85546875" style="4" hidden="1" customWidth="1"/>
    <col min="8" max="8" width="4" style="3" hidden="1" customWidth="1"/>
    <col min="9" max="9" width="10" style="3" hidden="1" customWidth="1"/>
    <col min="10" max="10" width="13.42578125" style="3" hidden="1" customWidth="1"/>
    <col min="11" max="11" width="4" style="3" hidden="1" customWidth="1"/>
    <col min="12" max="12" width="10" style="3" hidden="1" customWidth="1"/>
    <col min="13" max="13" width="13.85546875" style="3" hidden="1" customWidth="1"/>
    <col min="14" max="14" width="4" style="3" customWidth="1"/>
    <col min="15" max="15" width="9.5703125" style="3" customWidth="1"/>
    <col min="16" max="16" width="12.85546875" style="3" customWidth="1"/>
    <col min="17" max="17" width="13.85546875" style="3" customWidth="1"/>
    <col min="18" max="18" width="10" style="3" hidden="1" customWidth="1"/>
    <col min="19" max="36" width="0" style="3" hidden="1" customWidth="1"/>
    <col min="37" max="16384" width="13.140625" style="3"/>
  </cols>
  <sheetData>
    <row r="1" spans="1:23" ht="6" customHeight="1" x14ac:dyDescent="0.2"/>
    <row r="2" spans="1:23" x14ac:dyDescent="0.2">
      <c r="B2" s="5" t="s">
        <v>236</v>
      </c>
      <c r="C2" s="5"/>
      <c r="D2" s="5"/>
      <c r="E2" s="5"/>
      <c r="F2" s="5"/>
      <c r="G2" s="6"/>
      <c r="I2" s="5"/>
      <c r="J2" s="5"/>
      <c r="K2" s="5"/>
      <c r="L2" s="5"/>
      <c r="M2" s="5"/>
      <c r="N2" s="5"/>
      <c r="O2" s="5"/>
      <c r="P2" s="5"/>
      <c r="Q2" s="5"/>
    </row>
    <row r="3" spans="1:23" ht="6" customHeight="1" x14ac:dyDescent="0.2"/>
    <row r="4" spans="1:23" x14ac:dyDescent="0.2">
      <c r="E4" s="12" t="s">
        <v>231</v>
      </c>
      <c r="F4" s="13"/>
      <c r="G4" s="13"/>
      <c r="I4" s="13" t="s">
        <v>232</v>
      </c>
      <c r="J4" s="13"/>
      <c r="L4" s="13" t="s">
        <v>233</v>
      </c>
      <c r="M4" s="13"/>
      <c r="O4" s="12" t="s">
        <v>234</v>
      </c>
      <c r="P4" s="13"/>
      <c r="Q4" s="13"/>
    </row>
    <row r="5" spans="1:23" ht="15" customHeight="1" x14ac:dyDescent="0.2">
      <c r="E5" s="7"/>
      <c r="G5" s="8">
        <v>28346261.613772593</v>
      </c>
      <c r="J5" s="8">
        <v>13706392.595902933</v>
      </c>
      <c r="M5" s="8">
        <v>-12361423.450133039</v>
      </c>
      <c r="Q5" s="8">
        <v>29703789.435602423</v>
      </c>
      <c r="S5" s="30"/>
      <c r="T5" s="30"/>
    </row>
    <row r="6" spans="1:23" x14ac:dyDescent="0.2">
      <c r="B6" s="15"/>
      <c r="C6" s="10" t="s">
        <v>216</v>
      </c>
      <c r="D6" s="10" t="s">
        <v>1</v>
      </c>
      <c r="E6" s="17" t="s">
        <v>235</v>
      </c>
      <c r="F6" s="18" t="s">
        <v>230</v>
      </c>
      <c r="G6" s="18" t="s">
        <v>2</v>
      </c>
      <c r="I6" s="17" t="s">
        <v>235</v>
      </c>
      <c r="J6" s="18" t="s">
        <v>2</v>
      </c>
      <c r="K6" s="14"/>
      <c r="L6" s="17" t="s">
        <v>235</v>
      </c>
      <c r="M6" s="18" t="s">
        <v>2</v>
      </c>
      <c r="N6" s="14"/>
      <c r="O6" s="17" t="s">
        <v>235</v>
      </c>
      <c r="P6" s="18" t="s">
        <v>230</v>
      </c>
      <c r="Q6" s="18" t="s">
        <v>2</v>
      </c>
      <c r="S6" s="30" t="s">
        <v>565</v>
      </c>
      <c r="T6" s="30" t="s">
        <v>566</v>
      </c>
      <c r="U6" s="3" t="s">
        <v>567</v>
      </c>
      <c r="V6" s="3" t="s">
        <v>568</v>
      </c>
      <c r="W6" s="3" t="s">
        <v>569</v>
      </c>
    </row>
    <row r="7" spans="1:23" ht="13.5" x14ac:dyDescent="0.25">
      <c r="B7" s="16" t="s">
        <v>228</v>
      </c>
      <c r="C7" s="9" t="s">
        <v>228</v>
      </c>
      <c r="D7" s="9" t="s">
        <v>229</v>
      </c>
      <c r="E7" s="31">
        <v>1</v>
      </c>
      <c r="F7" s="33"/>
      <c r="G7" s="33">
        <v>1189202.5079517365</v>
      </c>
      <c r="H7" s="34"/>
      <c r="I7" s="31">
        <v>0</v>
      </c>
      <c r="J7" s="33">
        <v>1571161.852408974</v>
      </c>
      <c r="K7" s="34"/>
      <c r="L7" s="31">
        <v>0</v>
      </c>
      <c r="M7" s="33">
        <v>-1189202.5079517365</v>
      </c>
      <c r="N7" s="34"/>
      <c r="O7" s="31">
        <v>1</v>
      </c>
      <c r="P7" s="37">
        <v>1571161.852408974</v>
      </c>
      <c r="Q7" s="35">
        <v>1571161.852408974</v>
      </c>
      <c r="R7" s="1">
        <v>0</v>
      </c>
      <c r="S7" s="22"/>
      <c r="T7" s="1"/>
      <c r="U7" s="1"/>
    </row>
    <row r="8" spans="1:23" ht="13.5" x14ac:dyDescent="0.25">
      <c r="B8" s="16" t="s">
        <v>220</v>
      </c>
      <c r="C8" s="9" t="s">
        <v>3</v>
      </c>
      <c r="D8" s="9" t="s">
        <v>330</v>
      </c>
      <c r="E8" s="31">
        <v>0</v>
      </c>
      <c r="F8" s="33">
        <v>0</v>
      </c>
      <c r="G8" s="33">
        <v>0</v>
      </c>
      <c r="H8" s="34"/>
      <c r="I8" s="31">
        <v>0</v>
      </c>
      <c r="J8" s="33">
        <v>0</v>
      </c>
      <c r="K8" s="34"/>
      <c r="L8" s="31">
        <v>0</v>
      </c>
      <c r="M8" s="33">
        <v>0</v>
      </c>
      <c r="N8" s="34"/>
      <c r="O8" s="31">
        <v>0</v>
      </c>
      <c r="P8" s="37">
        <v>0</v>
      </c>
      <c r="Q8" s="35">
        <v>0</v>
      </c>
      <c r="R8" s="1">
        <v>0</v>
      </c>
      <c r="T8" s="2" t="s">
        <v>522</v>
      </c>
      <c r="U8" s="2"/>
    </row>
    <row r="9" spans="1:23" ht="13.5" x14ac:dyDescent="0.25">
      <c r="B9" s="16" t="s">
        <v>685</v>
      </c>
      <c r="C9" s="9" t="s">
        <v>685</v>
      </c>
      <c r="D9" s="9" t="s">
        <v>684</v>
      </c>
      <c r="E9" s="31">
        <v>0</v>
      </c>
      <c r="F9" s="33">
        <v>0</v>
      </c>
      <c r="G9" s="33">
        <v>0</v>
      </c>
      <c r="H9" s="34"/>
      <c r="I9" s="31">
        <v>1556</v>
      </c>
      <c r="J9" s="33">
        <v>725774.0299999998</v>
      </c>
      <c r="K9" s="34"/>
      <c r="L9" s="31">
        <v>0</v>
      </c>
      <c r="M9" s="33">
        <v>0</v>
      </c>
      <c r="N9" s="34"/>
      <c r="O9" s="31">
        <v>1556</v>
      </c>
      <c r="P9" s="37">
        <v>466.43575192802041</v>
      </c>
      <c r="Q9" s="35">
        <v>725774.0299999998</v>
      </c>
      <c r="R9" s="1" t="s">
        <v>0</v>
      </c>
      <c r="S9" s="22"/>
      <c r="T9" s="29">
        <v>0</v>
      </c>
      <c r="U9" s="2"/>
    </row>
    <row r="10" spans="1:23" ht="13.5" x14ac:dyDescent="0.25">
      <c r="A10" s="3">
        <v>0</v>
      </c>
      <c r="B10" s="16" t="s">
        <v>221</v>
      </c>
      <c r="C10" s="9" t="s">
        <v>48</v>
      </c>
      <c r="D10" s="9" t="s">
        <v>586</v>
      </c>
      <c r="E10" s="31">
        <v>23</v>
      </c>
      <c r="F10" s="33">
        <v>9.1731335200746962</v>
      </c>
      <c r="G10" s="33">
        <v>210.98207096171802</v>
      </c>
      <c r="H10" s="34"/>
      <c r="I10" s="31">
        <v>0</v>
      </c>
      <c r="J10" s="33">
        <v>0</v>
      </c>
      <c r="K10" s="34"/>
      <c r="L10" s="31">
        <v>-11</v>
      </c>
      <c r="M10" s="33">
        <v>-100.90446872082165</v>
      </c>
      <c r="N10" s="34"/>
      <c r="O10" s="31">
        <v>12</v>
      </c>
      <c r="P10" s="37">
        <v>9.173133520074698</v>
      </c>
      <c r="Q10" s="35">
        <v>110.07760224089637</v>
      </c>
      <c r="R10" s="1" t="s">
        <v>0</v>
      </c>
      <c r="S10" s="22"/>
      <c r="T10" s="2"/>
      <c r="U10" s="2"/>
    </row>
    <row r="11" spans="1:23" ht="13.5" x14ac:dyDescent="0.25">
      <c r="B11" s="16" t="s">
        <v>221</v>
      </c>
      <c r="C11" s="9" t="s">
        <v>49</v>
      </c>
      <c r="D11" s="9" t="s">
        <v>587</v>
      </c>
      <c r="E11" s="31">
        <v>2715</v>
      </c>
      <c r="F11" s="33">
        <v>2.9483132386077391</v>
      </c>
      <c r="G11" s="33">
        <v>8004.6704428200119</v>
      </c>
      <c r="H11" s="34"/>
      <c r="I11" s="31">
        <v>0</v>
      </c>
      <c r="J11" s="33">
        <v>0</v>
      </c>
      <c r="K11" s="34"/>
      <c r="L11" s="31">
        <v>-715</v>
      </c>
      <c r="M11" s="33">
        <v>-2108.0439656045332</v>
      </c>
      <c r="N11" s="34"/>
      <c r="O11" s="31">
        <v>2000</v>
      </c>
      <c r="P11" s="37">
        <v>2.9483132386077395</v>
      </c>
      <c r="Q11" s="35">
        <v>5896.6264772154791</v>
      </c>
      <c r="R11" s="1" t="s">
        <v>0</v>
      </c>
      <c r="S11" s="22"/>
      <c r="T11" s="2" t="s">
        <v>686</v>
      </c>
      <c r="U11" s="2"/>
    </row>
    <row r="12" spans="1:23" ht="13.5" x14ac:dyDescent="0.25">
      <c r="B12" s="16" t="s">
        <v>221</v>
      </c>
      <c r="C12" s="9" t="s">
        <v>126</v>
      </c>
      <c r="D12" s="9" t="s">
        <v>588</v>
      </c>
      <c r="E12" s="31">
        <v>1515</v>
      </c>
      <c r="F12" s="33">
        <v>2.983721361373957</v>
      </c>
      <c r="G12" s="33">
        <v>4520.337862481545</v>
      </c>
      <c r="H12" s="34"/>
      <c r="I12" s="31">
        <v>1800</v>
      </c>
      <c r="J12" s="33">
        <v>6030</v>
      </c>
      <c r="K12" s="34"/>
      <c r="L12" s="31">
        <v>-1515</v>
      </c>
      <c r="M12" s="33">
        <v>-4821.6476204101182</v>
      </c>
      <c r="N12" s="34"/>
      <c r="O12" s="31">
        <v>1800</v>
      </c>
      <c r="P12" s="37">
        <v>3.1826056900396815</v>
      </c>
      <c r="Q12" s="35">
        <v>5728.6902420714268</v>
      </c>
      <c r="R12" s="1" t="s">
        <v>0</v>
      </c>
      <c r="S12" s="22"/>
      <c r="T12" s="2" t="s">
        <v>519</v>
      </c>
      <c r="U12" s="29">
        <v>325155.55614617141</v>
      </c>
    </row>
    <row r="13" spans="1:23" ht="13.5" x14ac:dyDescent="0.25">
      <c r="B13" s="16" t="s">
        <v>221</v>
      </c>
      <c r="C13" s="9" t="s">
        <v>127</v>
      </c>
      <c r="D13" s="9" t="s">
        <v>589</v>
      </c>
      <c r="E13" s="31">
        <v>1836</v>
      </c>
      <c r="F13" s="33">
        <v>2.1820442088365724</v>
      </c>
      <c r="G13" s="33">
        <v>4006.2331674239467</v>
      </c>
      <c r="H13" s="34"/>
      <c r="I13" s="31">
        <v>0</v>
      </c>
      <c r="J13" s="33">
        <v>0</v>
      </c>
      <c r="K13" s="34"/>
      <c r="L13" s="31">
        <v>-36</v>
      </c>
      <c r="M13" s="33">
        <v>-78.553591518116605</v>
      </c>
      <c r="N13" s="34"/>
      <c r="O13" s="31">
        <v>1800</v>
      </c>
      <c r="P13" s="37">
        <v>2.1820442088365724</v>
      </c>
      <c r="Q13" s="35">
        <v>3927.67957590583</v>
      </c>
      <c r="R13" s="1" t="s">
        <v>0</v>
      </c>
      <c r="S13" s="22"/>
      <c r="T13" s="2" t="s">
        <v>520</v>
      </c>
      <c r="U13" s="2"/>
    </row>
    <row r="14" spans="1:23" ht="13.5" x14ac:dyDescent="0.25">
      <c r="B14" s="16" t="s">
        <v>221</v>
      </c>
      <c r="C14" s="9" t="s">
        <v>173</v>
      </c>
      <c r="D14" s="9" t="s">
        <v>590</v>
      </c>
      <c r="E14" s="31">
        <v>330</v>
      </c>
      <c r="F14" s="33">
        <v>3.5317522644497235</v>
      </c>
      <c r="G14" s="33">
        <v>1165.4782472684087</v>
      </c>
      <c r="H14" s="34"/>
      <c r="I14" s="31">
        <v>30</v>
      </c>
      <c r="J14" s="33">
        <v>0</v>
      </c>
      <c r="K14" s="34"/>
      <c r="L14" s="31">
        <v>0</v>
      </c>
      <c r="M14" s="33">
        <v>0</v>
      </c>
      <c r="N14" s="34"/>
      <c r="O14" s="31">
        <v>360</v>
      </c>
      <c r="P14" s="37">
        <v>3.2374395757455798</v>
      </c>
      <c r="Q14" s="35">
        <v>1165.4782472684087</v>
      </c>
      <c r="R14" s="1" t="s">
        <v>0</v>
      </c>
      <c r="S14" s="22"/>
      <c r="T14" s="1"/>
      <c r="U14" s="1"/>
    </row>
    <row r="15" spans="1:23" ht="13.5" x14ac:dyDescent="0.25">
      <c r="B15" s="16" t="s">
        <v>221</v>
      </c>
      <c r="C15" s="9" t="s">
        <v>174</v>
      </c>
      <c r="D15" s="9" t="s">
        <v>591</v>
      </c>
      <c r="E15" s="31">
        <v>31</v>
      </c>
      <c r="F15" s="33">
        <v>25.183190052370279</v>
      </c>
      <c r="G15" s="33">
        <v>780.67889162347865</v>
      </c>
      <c r="H15" s="34"/>
      <c r="I15" s="31">
        <v>10</v>
      </c>
      <c r="J15" s="33">
        <v>285</v>
      </c>
      <c r="K15" s="34"/>
      <c r="L15" s="31">
        <v>-12</v>
      </c>
      <c r="M15" s="33">
        <v>-311.90601706053036</v>
      </c>
      <c r="N15" s="34"/>
      <c r="O15" s="31">
        <v>29</v>
      </c>
      <c r="P15" s="37">
        <v>25.992168088377529</v>
      </c>
      <c r="Q15" s="35">
        <v>753.77287456294835</v>
      </c>
      <c r="R15" s="1" t="s">
        <v>0</v>
      </c>
      <c r="S15" s="22"/>
      <c r="T15" s="1"/>
      <c r="U15" s="1"/>
    </row>
    <row r="16" spans="1:23" ht="13.5" x14ac:dyDescent="0.25">
      <c r="B16" s="16" t="s">
        <v>221</v>
      </c>
      <c r="C16" s="9" t="s">
        <v>50</v>
      </c>
      <c r="D16" s="9" t="s">
        <v>592</v>
      </c>
      <c r="E16" s="31">
        <v>32</v>
      </c>
      <c r="F16" s="33">
        <v>27.48017175595453</v>
      </c>
      <c r="G16" s="33">
        <v>879.36549619054495</v>
      </c>
      <c r="H16" s="34"/>
      <c r="I16" s="31">
        <v>75</v>
      </c>
      <c r="J16" s="33">
        <v>2155</v>
      </c>
      <c r="K16" s="34"/>
      <c r="L16" s="31">
        <v>-24</v>
      </c>
      <c r="M16" s="33">
        <v>-680.60534493993532</v>
      </c>
      <c r="N16" s="34"/>
      <c r="O16" s="31">
        <v>83</v>
      </c>
      <c r="P16" s="37">
        <v>28.358556039163975</v>
      </c>
      <c r="Q16" s="35">
        <v>2353.7601512506099</v>
      </c>
      <c r="R16" s="1" t="s">
        <v>0</v>
      </c>
      <c r="S16" s="22"/>
      <c r="T16" s="1"/>
      <c r="U16" s="1"/>
    </row>
    <row r="17" spans="2:21" ht="13.5" x14ac:dyDescent="0.25">
      <c r="B17" s="16" t="s">
        <v>221</v>
      </c>
      <c r="C17" s="9" t="s">
        <v>128</v>
      </c>
      <c r="D17" s="9" t="s">
        <v>593</v>
      </c>
      <c r="E17" s="31">
        <v>9</v>
      </c>
      <c r="F17" s="33">
        <v>5.8550499795533462</v>
      </c>
      <c r="G17" s="33">
        <v>52.695449815980112</v>
      </c>
      <c r="H17" s="34"/>
      <c r="I17" s="31">
        <v>60</v>
      </c>
      <c r="J17" s="33">
        <v>492</v>
      </c>
      <c r="K17" s="34"/>
      <c r="L17" s="31">
        <v>-29</v>
      </c>
      <c r="M17" s="33">
        <v>-228.92997166178873</v>
      </c>
      <c r="N17" s="34"/>
      <c r="O17" s="31">
        <v>40</v>
      </c>
      <c r="P17" s="37">
        <v>7.8941369538547832</v>
      </c>
      <c r="Q17" s="35">
        <v>315.76547815419133</v>
      </c>
      <c r="R17" s="1" t="s">
        <v>0</v>
      </c>
      <c r="S17" s="19"/>
      <c r="U17" s="20"/>
    </row>
    <row r="18" spans="2:21" ht="13.5" x14ac:dyDescent="0.25">
      <c r="B18" s="16" t="s">
        <v>221</v>
      </c>
      <c r="C18" s="9" t="s">
        <v>160</v>
      </c>
      <c r="D18" s="9" t="s">
        <v>594</v>
      </c>
      <c r="E18" s="31">
        <v>2</v>
      </c>
      <c r="F18" s="33">
        <v>43.318333333333328</v>
      </c>
      <c r="G18" s="33">
        <v>86.636666666666656</v>
      </c>
      <c r="H18" s="34"/>
      <c r="I18" s="31">
        <v>0</v>
      </c>
      <c r="J18" s="33">
        <v>0</v>
      </c>
      <c r="K18" s="34"/>
      <c r="L18" s="31">
        <v>-1</v>
      </c>
      <c r="M18" s="33">
        <v>-43.318333333333328</v>
      </c>
      <c r="N18" s="34"/>
      <c r="O18" s="31">
        <v>1</v>
      </c>
      <c r="P18" s="37">
        <v>43.318333333333328</v>
      </c>
      <c r="Q18" s="35">
        <v>43.318333333333328</v>
      </c>
      <c r="R18" s="1" t="s">
        <v>0</v>
      </c>
    </row>
    <row r="19" spans="2:21" ht="13.5" x14ac:dyDescent="0.25">
      <c r="B19" s="16" t="s">
        <v>221</v>
      </c>
      <c r="C19" s="9" t="s">
        <v>129</v>
      </c>
      <c r="D19" s="9" t="s">
        <v>595</v>
      </c>
      <c r="E19" s="31">
        <v>26</v>
      </c>
      <c r="F19" s="33">
        <v>82.759668421052638</v>
      </c>
      <c r="G19" s="33">
        <v>2151.7513789473687</v>
      </c>
      <c r="H19" s="34"/>
      <c r="I19" s="31">
        <v>0</v>
      </c>
      <c r="J19" s="33">
        <v>0</v>
      </c>
      <c r="K19" s="34"/>
      <c r="L19" s="31">
        <v>-9</v>
      </c>
      <c r="M19" s="33">
        <v>-744.83701578947375</v>
      </c>
      <c r="N19" s="34"/>
      <c r="O19" s="31">
        <v>17</v>
      </c>
      <c r="P19" s="37">
        <v>82.759668421052652</v>
      </c>
      <c r="Q19" s="35">
        <v>1406.914363157895</v>
      </c>
      <c r="R19" s="1" t="s">
        <v>0</v>
      </c>
    </row>
    <row r="20" spans="2:21" ht="13.5" x14ac:dyDescent="0.25">
      <c r="B20" s="16" t="s">
        <v>221</v>
      </c>
      <c r="C20" s="9" t="s">
        <v>175</v>
      </c>
      <c r="D20" s="9" t="s">
        <v>596</v>
      </c>
      <c r="E20" s="31">
        <v>0</v>
      </c>
      <c r="F20" s="33">
        <v>195.4806971835784</v>
      </c>
      <c r="G20" s="33">
        <v>0</v>
      </c>
      <c r="H20" s="34"/>
      <c r="I20" s="31">
        <v>0</v>
      </c>
      <c r="J20" s="33">
        <v>0</v>
      </c>
      <c r="K20" s="34"/>
      <c r="L20" s="31">
        <v>0</v>
      </c>
      <c r="M20" s="33">
        <v>0</v>
      </c>
      <c r="N20" s="34"/>
      <c r="O20" s="31">
        <v>0</v>
      </c>
      <c r="P20" s="37">
        <v>195.4806971835784</v>
      </c>
      <c r="Q20" s="35">
        <v>0</v>
      </c>
      <c r="R20" s="1" t="s">
        <v>0</v>
      </c>
    </row>
    <row r="21" spans="2:21" ht="13.5" x14ac:dyDescent="0.25">
      <c r="B21" s="16" t="s">
        <v>221</v>
      </c>
      <c r="C21" s="9" t="s">
        <v>130</v>
      </c>
      <c r="D21" s="9" t="s">
        <v>597</v>
      </c>
      <c r="E21" s="31">
        <v>128</v>
      </c>
      <c r="F21" s="33">
        <v>17.641328413284132</v>
      </c>
      <c r="G21" s="33">
        <v>2258.0900369003689</v>
      </c>
      <c r="H21" s="34"/>
      <c r="I21" s="31">
        <v>0</v>
      </c>
      <c r="J21" s="33">
        <v>0</v>
      </c>
      <c r="K21" s="34"/>
      <c r="L21" s="31">
        <v>0</v>
      </c>
      <c r="M21" s="33">
        <v>0</v>
      </c>
      <c r="N21" s="34"/>
      <c r="O21" s="31">
        <v>128</v>
      </c>
      <c r="P21" s="37">
        <v>17.641328413284132</v>
      </c>
      <c r="Q21" s="35">
        <v>2258.0900369003689</v>
      </c>
      <c r="R21" s="1" t="s">
        <v>0</v>
      </c>
    </row>
    <row r="22" spans="2:21" ht="13.5" x14ac:dyDescent="0.25">
      <c r="B22" s="16" t="s">
        <v>221</v>
      </c>
      <c r="C22" s="9" t="s">
        <v>176</v>
      </c>
      <c r="D22" s="9" t="s">
        <v>598</v>
      </c>
      <c r="E22" s="31">
        <v>211</v>
      </c>
      <c r="F22" s="33">
        <v>245.187386618895</v>
      </c>
      <c r="G22" s="33">
        <v>51734.538576586849</v>
      </c>
      <c r="H22" s="34"/>
      <c r="I22" s="31">
        <v>96</v>
      </c>
      <c r="J22" s="33">
        <v>8784</v>
      </c>
      <c r="K22" s="34"/>
      <c r="L22" s="31">
        <v>-69</v>
      </c>
      <c r="M22" s="33">
        <v>-13601.88652047066</v>
      </c>
      <c r="N22" s="34"/>
      <c r="O22" s="31">
        <v>238</v>
      </c>
      <c r="P22" s="37">
        <v>197.12879015174869</v>
      </c>
      <c r="Q22" s="35">
        <v>46916.652056116189</v>
      </c>
      <c r="R22" s="1" t="s">
        <v>0</v>
      </c>
    </row>
    <row r="23" spans="2:21" ht="13.5" x14ac:dyDescent="0.25">
      <c r="B23" s="16" t="s">
        <v>221</v>
      </c>
      <c r="C23" s="9" t="s">
        <v>177</v>
      </c>
      <c r="D23" s="9" t="s">
        <v>599</v>
      </c>
      <c r="E23" s="31">
        <v>105</v>
      </c>
      <c r="F23" s="33">
        <v>32.50877818181818</v>
      </c>
      <c r="G23" s="33">
        <v>3413.4217090909087</v>
      </c>
      <c r="H23" s="34"/>
      <c r="I23" s="31">
        <v>197</v>
      </c>
      <c r="J23" s="33">
        <v>7050</v>
      </c>
      <c r="K23" s="34"/>
      <c r="L23" s="31">
        <v>0</v>
      </c>
      <c r="M23" s="33">
        <v>0</v>
      </c>
      <c r="N23" s="34"/>
      <c r="O23" s="31">
        <v>302</v>
      </c>
      <c r="P23" s="37">
        <v>34.647091751956651</v>
      </c>
      <c r="Q23" s="35">
        <v>10463.421709090908</v>
      </c>
      <c r="R23" s="1" t="s">
        <v>0</v>
      </c>
    </row>
    <row r="24" spans="2:21" ht="13.5" x14ac:dyDescent="0.25">
      <c r="B24" s="16" t="s">
        <v>221</v>
      </c>
      <c r="C24" s="9" t="s">
        <v>131</v>
      </c>
      <c r="D24" s="9" t="s">
        <v>600</v>
      </c>
      <c r="E24" s="31">
        <v>17</v>
      </c>
      <c r="F24" s="33">
        <v>1026.4541748035913</v>
      </c>
      <c r="G24" s="33">
        <v>17449.720971661052</v>
      </c>
      <c r="H24" s="34"/>
      <c r="I24" s="31">
        <v>0</v>
      </c>
      <c r="J24" s="33">
        <v>0</v>
      </c>
      <c r="K24" s="34"/>
      <c r="L24" s="31">
        <v>-7</v>
      </c>
      <c r="M24" s="33">
        <v>-7185.1792236251385</v>
      </c>
      <c r="N24" s="34"/>
      <c r="O24" s="31">
        <v>10</v>
      </c>
      <c r="P24" s="37">
        <v>1026.4541748035913</v>
      </c>
      <c r="Q24" s="35">
        <v>10264.541748035914</v>
      </c>
      <c r="R24" s="1" t="s">
        <v>0</v>
      </c>
    </row>
    <row r="25" spans="2:21" ht="13.5" x14ac:dyDescent="0.25">
      <c r="B25" s="16" t="s">
        <v>221</v>
      </c>
      <c r="C25" s="9" t="s">
        <v>161</v>
      </c>
      <c r="D25" s="9" t="s">
        <v>601</v>
      </c>
      <c r="E25" s="31">
        <v>5</v>
      </c>
      <c r="F25" s="33">
        <v>48.845948108108118</v>
      </c>
      <c r="G25" s="33">
        <v>244.22974054054058</v>
      </c>
      <c r="H25" s="34"/>
      <c r="I25" s="31">
        <v>0</v>
      </c>
      <c r="J25" s="33">
        <v>0</v>
      </c>
      <c r="K25" s="34"/>
      <c r="L25" s="31">
        <v>-5</v>
      </c>
      <c r="M25" s="33">
        <v>-244.2297405405406</v>
      </c>
      <c r="N25" s="34"/>
      <c r="O25" s="31">
        <v>0</v>
      </c>
      <c r="P25" s="37">
        <v>48.845948108108118</v>
      </c>
      <c r="Q25" s="35">
        <v>0</v>
      </c>
      <c r="R25" s="1" t="s">
        <v>0</v>
      </c>
    </row>
    <row r="26" spans="2:21" ht="13.5" x14ac:dyDescent="0.25">
      <c r="B26" s="16" t="s">
        <v>221</v>
      </c>
      <c r="C26" s="9" t="s">
        <v>166</v>
      </c>
      <c r="D26" s="9" t="s">
        <v>167</v>
      </c>
      <c r="E26" s="31">
        <v>0</v>
      </c>
      <c r="F26" s="33">
        <v>0</v>
      </c>
      <c r="G26" s="33">
        <v>0</v>
      </c>
      <c r="H26" s="34"/>
      <c r="I26" s="31">
        <v>0</v>
      </c>
      <c r="J26" s="33">
        <v>0</v>
      </c>
      <c r="K26" s="34"/>
      <c r="L26" s="31">
        <v>0</v>
      </c>
      <c r="M26" s="33">
        <v>0</v>
      </c>
      <c r="N26" s="34"/>
      <c r="O26" s="31">
        <v>0</v>
      </c>
      <c r="P26" s="37">
        <v>0</v>
      </c>
      <c r="Q26" s="35">
        <v>0</v>
      </c>
      <c r="R26" s="1" t="s">
        <v>0</v>
      </c>
    </row>
    <row r="27" spans="2:21" ht="13.5" x14ac:dyDescent="0.25">
      <c r="B27" s="16" t="s">
        <v>221</v>
      </c>
      <c r="C27" s="9" t="s">
        <v>67</v>
      </c>
      <c r="D27" s="9" t="s">
        <v>602</v>
      </c>
      <c r="E27" s="31">
        <v>99</v>
      </c>
      <c r="F27" s="33">
        <v>25.93559407421705</v>
      </c>
      <c r="G27" s="33">
        <v>2567.6238133474881</v>
      </c>
      <c r="H27" s="34"/>
      <c r="I27" s="31">
        <v>249</v>
      </c>
      <c r="J27" s="33">
        <v>6457.96</v>
      </c>
      <c r="K27" s="34"/>
      <c r="L27" s="31">
        <v>-135</v>
      </c>
      <c r="M27" s="33">
        <v>-3501.3040655227328</v>
      </c>
      <c r="N27" s="34"/>
      <c r="O27" s="31">
        <v>213</v>
      </c>
      <c r="P27" s="37">
        <v>25.93558567053876</v>
      </c>
      <c r="Q27" s="35">
        <v>5524.2797478247558</v>
      </c>
      <c r="R27" s="1" t="s">
        <v>521</v>
      </c>
    </row>
    <row r="28" spans="2:21" ht="13.5" x14ac:dyDescent="0.25">
      <c r="B28" s="16" t="s">
        <v>221</v>
      </c>
      <c r="C28" s="9" t="s">
        <v>68</v>
      </c>
      <c r="D28" s="9" t="s">
        <v>603</v>
      </c>
      <c r="E28" s="31">
        <v>26</v>
      </c>
      <c r="F28" s="33">
        <v>22.361455653902905</v>
      </c>
      <c r="G28" s="33">
        <v>581.3978470014755</v>
      </c>
      <c r="H28" s="34"/>
      <c r="I28" s="31">
        <v>0</v>
      </c>
      <c r="J28" s="33">
        <v>0</v>
      </c>
      <c r="K28" s="34"/>
      <c r="L28" s="31">
        <v>-7</v>
      </c>
      <c r="M28" s="33">
        <v>-156.53018957732033</v>
      </c>
      <c r="N28" s="34"/>
      <c r="O28" s="31">
        <v>19</v>
      </c>
      <c r="P28" s="37">
        <v>22.361455653902901</v>
      </c>
      <c r="Q28" s="35">
        <v>424.86765742415514</v>
      </c>
      <c r="R28" s="1" t="s">
        <v>521</v>
      </c>
    </row>
    <row r="29" spans="2:21" ht="13.5" x14ac:dyDescent="0.25">
      <c r="B29" s="16" t="s">
        <v>221</v>
      </c>
      <c r="C29" s="9" t="s">
        <v>132</v>
      </c>
      <c r="D29" s="9" t="s">
        <v>604</v>
      </c>
      <c r="E29" s="31">
        <v>25</v>
      </c>
      <c r="F29" s="33">
        <v>30.554840905174334</v>
      </c>
      <c r="G29" s="33">
        <v>763.87102262935832</v>
      </c>
      <c r="H29" s="34"/>
      <c r="I29" s="31">
        <v>110</v>
      </c>
      <c r="J29" s="33">
        <v>3156</v>
      </c>
      <c r="K29" s="34"/>
      <c r="L29" s="31">
        <v>-11</v>
      </c>
      <c r="M29" s="33">
        <v>-319.39689814016992</v>
      </c>
      <c r="N29" s="34"/>
      <c r="O29" s="31">
        <v>124</v>
      </c>
      <c r="P29" s="37">
        <v>29.036081649106357</v>
      </c>
      <c r="Q29" s="35">
        <v>3600.4741244891884</v>
      </c>
      <c r="R29" s="1" t="s">
        <v>0</v>
      </c>
    </row>
    <row r="30" spans="2:21" ht="13.5" x14ac:dyDescent="0.25">
      <c r="B30" s="16" t="s">
        <v>221</v>
      </c>
      <c r="C30" s="9" t="s">
        <v>69</v>
      </c>
      <c r="D30" s="9" t="s">
        <v>605</v>
      </c>
      <c r="E30" s="31">
        <v>0</v>
      </c>
      <c r="F30" s="33">
        <v>0</v>
      </c>
      <c r="G30" s="33">
        <v>0</v>
      </c>
      <c r="H30" s="34"/>
      <c r="I30" s="31">
        <v>0</v>
      </c>
      <c r="J30" s="33">
        <v>0</v>
      </c>
      <c r="K30" s="34"/>
      <c r="L30" s="31">
        <v>0</v>
      </c>
      <c r="M30" s="33">
        <v>0</v>
      </c>
      <c r="N30" s="34"/>
      <c r="O30" s="31">
        <v>0</v>
      </c>
      <c r="P30" s="37">
        <v>0</v>
      </c>
      <c r="Q30" s="35">
        <v>0</v>
      </c>
      <c r="R30" s="1" t="s">
        <v>0</v>
      </c>
    </row>
    <row r="31" spans="2:21" ht="13.5" x14ac:dyDescent="0.25">
      <c r="B31" s="16" t="s">
        <v>221</v>
      </c>
      <c r="C31" s="9" t="s">
        <v>178</v>
      </c>
      <c r="D31" s="9" t="s">
        <v>606</v>
      </c>
      <c r="E31" s="31">
        <v>6</v>
      </c>
      <c r="F31" s="33">
        <v>20.66230285</v>
      </c>
      <c r="G31" s="33">
        <v>123.97381709999999</v>
      </c>
      <c r="H31" s="34"/>
      <c r="I31" s="31">
        <v>0</v>
      </c>
      <c r="J31" s="33">
        <v>0</v>
      </c>
      <c r="K31" s="34"/>
      <c r="L31" s="31">
        <v>-6</v>
      </c>
      <c r="M31" s="33">
        <v>-123.97381709999999</v>
      </c>
      <c r="N31" s="34"/>
      <c r="O31" s="31">
        <v>0</v>
      </c>
      <c r="P31" s="37">
        <v>20.66230285</v>
      </c>
      <c r="Q31" s="35">
        <v>0</v>
      </c>
      <c r="R31" s="1" t="s">
        <v>0</v>
      </c>
    </row>
    <row r="32" spans="2:21" ht="13.5" x14ac:dyDescent="0.25">
      <c r="B32" s="16" t="s">
        <v>221</v>
      </c>
      <c r="C32" s="9" t="s">
        <v>179</v>
      </c>
      <c r="D32" s="9" t="s">
        <v>607</v>
      </c>
      <c r="E32" s="31">
        <v>114</v>
      </c>
      <c r="F32" s="33">
        <v>6.3399999897503792E-2</v>
      </c>
      <c r="G32" s="33">
        <v>7.2275999883154327</v>
      </c>
      <c r="H32" s="34"/>
      <c r="I32" s="31">
        <v>0</v>
      </c>
      <c r="J32" s="33">
        <v>0</v>
      </c>
      <c r="K32" s="34"/>
      <c r="L32" s="31">
        <v>-26</v>
      </c>
      <c r="M32" s="33">
        <v>-1.6483999973350987</v>
      </c>
      <c r="N32" s="34"/>
      <c r="O32" s="31">
        <v>88</v>
      </c>
      <c r="P32" s="37">
        <v>6.3399999897503792E-2</v>
      </c>
      <c r="Q32" s="35">
        <v>5.5791999909803343</v>
      </c>
      <c r="R32" s="1" t="s">
        <v>0</v>
      </c>
    </row>
    <row r="33" spans="2:18" ht="13.5" x14ac:dyDescent="0.25">
      <c r="B33" s="16" t="s">
        <v>221</v>
      </c>
      <c r="C33" s="9" t="s">
        <v>211</v>
      </c>
      <c r="D33" s="9" t="s">
        <v>608</v>
      </c>
      <c r="E33" s="31">
        <v>6</v>
      </c>
      <c r="F33" s="33">
        <v>40.365711111111118</v>
      </c>
      <c r="G33" s="33">
        <v>242.19426666666669</v>
      </c>
      <c r="H33" s="34"/>
      <c r="I33" s="31">
        <v>0</v>
      </c>
      <c r="J33" s="33">
        <v>0</v>
      </c>
      <c r="K33" s="34"/>
      <c r="L33" s="31">
        <v>0</v>
      </c>
      <c r="M33" s="33">
        <v>0</v>
      </c>
      <c r="N33" s="34"/>
      <c r="O33" s="31">
        <v>6</v>
      </c>
      <c r="P33" s="37">
        <v>40.365711111111118</v>
      </c>
      <c r="Q33" s="35">
        <v>242.19426666666669</v>
      </c>
      <c r="R33" s="1" t="s">
        <v>0</v>
      </c>
    </row>
    <row r="34" spans="2:18" ht="13.5" x14ac:dyDescent="0.25">
      <c r="B34" s="16" t="s">
        <v>221</v>
      </c>
      <c r="C34" s="9" t="s">
        <v>70</v>
      </c>
      <c r="D34" s="9" t="s">
        <v>609</v>
      </c>
      <c r="E34" s="31">
        <v>0</v>
      </c>
      <c r="F34" s="33">
        <v>16.75</v>
      </c>
      <c r="G34" s="33">
        <v>0</v>
      </c>
      <c r="H34" s="34"/>
      <c r="I34" s="31">
        <v>11</v>
      </c>
      <c r="J34" s="33">
        <v>184.25</v>
      </c>
      <c r="K34" s="34"/>
      <c r="L34" s="31">
        <v>0</v>
      </c>
      <c r="M34" s="33">
        <v>0</v>
      </c>
      <c r="N34" s="34"/>
      <c r="O34" s="31">
        <v>11</v>
      </c>
      <c r="P34" s="37">
        <v>16.75</v>
      </c>
      <c r="Q34" s="35">
        <v>184.25</v>
      </c>
      <c r="R34" s="1" t="s">
        <v>0</v>
      </c>
    </row>
    <row r="35" spans="2:18" ht="13.5" x14ac:dyDescent="0.25">
      <c r="B35" s="16" t="s">
        <v>221</v>
      </c>
      <c r="C35" s="9" t="s">
        <v>503</v>
      </c>
      <c r="D35" s="9" t="s">
        <v>510</v>
      </c>
      <c r="E35" s="31">
        <v>148</v>
      </c>
      <c r="F35" s="33">
        <v>23.844594594594593</v>
      </c>
      <c r="G35" s="33">
        <v>3529</v>
      </c>
      <c r="H35" s="34"/>
      <c r="I35" s="31">
        <v>4</v>
      </c>
      <c r="J35" s="33">
        <v>0</v>
      </c>
      <c r="K35" s="34"/>
      <c r="L35" s="31">
        <v>-3</v>
      </c>
      <c r="M35" s="33">
        <v>-69.651315789473685</v>
      </c>
      <c r="N35" s="34"/>
      <c r="O35" s="31">
        <v>149</v>
      </c>
      <c r="P35" s="37">
        <v>23.217105263157894</v>
      </c>
      <c r="Q35" s="35">
        <v>3459.3486842105262</v>
      </c>
      <c r="R35" s="1" t="s">
        <v>0</v>
      </c>
    </row>
    <row r="36" spans="2:18" ht="13.5" x14ac:dyDescent="0.25">
      <c r="B36" s="16" t="s">
        <v>221</v>
      </c>
      <c r="C36" s="9" t="s">
        <v>180</v>
      </c>
      <c r="D36" s="9" t="s">
        <v>610</v>
      </c>
      <c r="E36" s="31">
        <v>7</v>
      </c>
      <c r="F36" s="33">
        <v>1951.0808639843392</v>
      </c>
      <c r="G36" s="33">
        <v>13657.566047890374</v>
      </c>
      <c r="H36" s="34"/>
      <c r="I36" s="31">
        <v>40</v>
      </c>
      <c r="J36" s="33">
        <v>92859.32</v>
      </c>
      <c r="K36" s="34"/>
      <c r="L36" s="31">
        <v>-10</v>
      </c>
      <c r="M36" s="33">
        <v>-22663.167244231994</v>
      </c>
      <c r="N36" s="34"/>
      <c r="O36" s="31">
        <v>37</v>
      </c>
      <c r="P36" s="37">
        <v>2266.3167244231995</v>
      </c>
      <c r="Q36" s="35">
        <v>83853.718803658383</v>
      </c>
      <c r="R36" s="1" t="s">
        <v>0</v>
      </c>
    </row>
    <row r="37" spans="2:18" ht="13.5" x14ac:dyDescent="0.25">
      <c r="B37" s="16" t="s">
        <v>221</v>
      </c>
      <c r="C37" s="9" t="s">
        <v>51</v>
      </c>
      <c r="D37" s="9" t="s">
        <v>611</v>
      </c>
      <c r="E37" s="31">
        <v>72</v>
      </c>
      <c r="F37" s="33">
        <v>106.62457171233473</v>
      </c>
      <c r="G37" s="33">
        <v>7676.9691632881004</v>
      </c>
      <c r="H37" s="34"/>
      <c r="I37" s="31">
        <v>0</v>
      </c>
      <c r="J37" s="33">
        <v>0</v>
      </c>
      <c r="K37" s="34"/>
      <c r="L37" s="31">
        <v>0</v>
      </c>
      <c r="M37" s="33">
        <v>0</v>
      </c>
      <c r="N37" s="34"/>
      <c r="O37" s="31">
        <v>72</v>
      </c>
      <c r="P37" s="37">
        <v>106.62457171233473</v>
      </c>
      <c r="Q37" s="35">
        <v>7676.9691632881004</v>
      </c>
      <c r="R37" s="1" t="s">
        <v>0</v>
      </c>
    </row>
    <row r="38" spans="2:18" ht="13.5" x14ac:dyDescent="0.25">
      <c r="B38" s="16" t="s">
        <v>221</v>
      </c>
      <c r="C38" s="9" t="s">
        <v>71</v>
      </c>
      <c r="D38" s="9" t="s">
        <v>285</v>
      </c>
      <c r="E38" s="31">
        <v>587</v>
      </c>
      <c r="F38" s="33">
        <v>1.1800000000000002</v>
      </c>
      <c r="G38" s="33">
        <v>692.66000000000008</v>
      </c>
      <c r="H38" s="34"/>
      <c r="I38" s="31">
        <v>0</v>
      </c>
      <c r="J38" s="33">
        <v>0</v>
      </c>
      <c r="K38" s="34"/>
      <c r="L38" s="31">
        <v>-70</v>
      </c>
      <c r="M38" s="33">
        <v>-82.600000000000009</v>
      </c>
      <c r="N38" s="34"/>
      <c r="O38" s="31">
        <v>517</v>
      </c>
      <c r="P38" s="37">
        <v>1.1800000000000002</v>
      </c>
      <c r="Q38" s="35">
        <v>610.06000000000006</v>
      </c>
      <c r="R38" s="1" t="s">
        <v>0</v>
      </c>
    </row>
    <row r="39" spans="2:18" ht="13.5" x14ac:dyDescent="0.25">
      <c r="B39" s="16" t="s">
        <v>221</v>
      </c>
      <c r="C39" s="9" t="s">
        <v>72</v>
      </c>
      <c r="D39" s="9" t="s">
        <v>331</v>
      </c>
      <c r="E39" s="31">
        <v>20</v>
      </c>
      <c r="F39" s="33">
        <v>30.970434782608692</v>
      </c>
      <c r="G39" s="33">
        <v>619.40869565217383</v>
      </c>
      <c r="H39" s="34"/>
      <c r="I39" s="31">
        <v>0</v>
      </c>
      <c r="J39" s="33">
        <v>0</v>
      </c>
      <c r="K39" s="34"/>
      <c r="L39" s="31">
        <v>-4</v>
      </c>
      <c r="M39" s="33">
        <v>-123.88173913043477</v>
      </c>
      <c r="N39" s="34"/>
      <c r="O39" s="31">
        <v>16</v>
      </c>
      <c r="P39" s="37">
        <v>30.970434782608692</v>
      </c>
      <c r="Q39" s="35">
        <v>495.52695652173907</v>
      </c>
      <c r="R39" s="1" t="s">
        <v>0</v>
      </c>
    </row>
    <row r="40" spans="2:18" ht="13.5" x14ac:dyDescent="0.25">
      <c r="B40" s="16" t="s">
        <v>221</v>
      </c>
      <c r="C40" s="9" t="s">
        <v>181</v>
      </c>
      <c r="D40" s="9" t="s">
        <v>612</v>
      </c>
      <c r="E40" s="31">
        <v>23</v>
      </c>
      <c r="F40" s="33">
        <v>13.768571428571427</v>
      </c>
      <c r="G40" s="33">
        <v>316.67714285714283</v>
      </c>
      <c r="H40" s="34"/>
      <c r="I40" s="31">
        <v>0</v>
      </c>
      <c r="J40" s="33">
        <v>0</v>
      </c>
      <c r="K40" s="34"/>
      <c r="L40" s="31">
        <v>0</v>
      </c>
      <c r="M40" s="33">
        <v>0</v>
      </c>
      <c r="N40" s="34"/>
      <c r="O40" s="31">
        <v>23</v>
      </c>
      <c r="P40" s="37">
        <v>13.768571428571427</v>
      </c>
      <c r="Q40" s="35">
        <v>316.67714285714283</v>
      </c>
      <c r="R40" s="1" t="s">
        <v>0</v>
      </c>
    </row>
    <row r="41" spans="2:18" ht="13.5" x14ac:dyDescent="0.25">
      <c r="B41" s="16" t="s">
        <v>221</v>
      </c>
      <c r="C41" s="9" t="s">
        <v>52</v>
      </c>
      <c r="D41" s="9" t="s">
        <v>613</v>
      </c>
      <c r="E41" s="31">
        <v>20</v>
      </c>
      <c r="F41" s="33">
        <v>16.396216216216214</v>
      </c>
      <c r="G41" s="33">
        <v>327.92432432432429</v>
      </c>
      <c r="H41" s="34"/>
      <c r="I41" s="31">
        <v>0</v>
      </c>
      <c r="J41" s="33">
        <v>0</v>
      </c>
      <c r="K41" s="34"/>
      <c r="L41" s="31">
        <v>0</v>
      </c>
      <c r="M41" s="33">
        <v>0</v>
      </c>
      <c r="N41" s="34"/>
      <c r="O41" s="31">
        <v>20</v>
      </c>
      <c r="P41" s="37">
        <v>16.396216216216214</v>
      </c>
      <c r="Q41" s="35">
        <v>327.92432432432429</v>
      </c>
      <c r="R41" s="1" t="s">
        <v>0</v>
      </c>
    </row>
    <row r="42" spans="2:18" ht="13.5" x14ac:dyDescent="0.25">
      <c r="B42" s="16" t="s">
        <v>221</v>
      </c>
      <c r="C42" s="9" t="s">
        <v>53</v>
      </c>
      <c r="D42" s="9" t="s">
        <v>614</v>
      </c>
      <c r="E42" s="31">
        <v>25</v>
      </c>
      <c r="F42" s="33">
        <v>1.38</v>
      </c>
      <c r="G42" s="33">
        <v>34.5</v>
      </c>
      <c r="H42" s="34"/>
      <c r="I42" s="31">
        <v>0</v>
      </c>
      <c r="J42" s="33">
        <v>0</v>
      </c>
      <c r="K42" s="34"/>
      <c r="L42" s="31">
        <v>0</v>
      </c>
      <c r="M42" s="33">
        <v>0</v>
      </c>
      <c r="N42" s="34"/>
      <c r="O42" s="31">
        <v>25</v>
      </c>
      <c r="P42" s="37">
        <v>1.38</v>
      </c>
      <c r="Q42" s="35">
        <v>34.5</v>
      </c>
      <c r="R42" s="1" t="s">
        <v>0</v>
      </c>
    </row>
    <row r="43" spans="2:18" ht="13.5" x14ac:dyDescent="0.25">
      <c r="B43" s="16" t="s">
        <v>221</v>
      </c>
      <c r="C43" s="9" t="s">
        <v>54</v>
      </c>
      <c r="D43" s="9" t="s">
        <v>615</v>
      </c>
      <c r="E43" s="31">
        <v>28</v>
      </c>
      <c r="F43" s="33">
        <v>4.6449526797385614</v>
      </c>
      <c r="G43" s="33">
        <v>130.05867503267973</v>
      </c>
      <c r="H43" s="34"/>
      <c r="I43" s="31">
        <v>80</v>
      </c>
      <c r="J43" s="33">
        <v>370.05</v>
      </c>
      <c r="K43" s="34"/>
      <c r="L43" s="31">
        <v>-31</v>
      </c>
      <c r="M43" s="33">
        <v>-143.54971227789883</v>
      </c>
      <c r="N43" s="34"/>
      <c r="O43" s="31">
        <v>77</v>
      </c>
      <c r="P43" s="37">
        <v>4.6306358799322194</v>
      </c>
      <c r="Q43" s="35">
        <v>356.55896275478091</v>
      </c>
      <c r="R43" s="1" t="s">
        <v>0</v>
      </c>
    </row>
    <row r="44" spans="2:18" ht="13.5" x14ac:dyDescent="0.25">
      <c r="B44" s="16" t="s">
        <v>221</v>
      </c>
      <c r="C44" s="9" t="s">
        <v>55</v>
      </c>
      <c r="D44" s="9" t="s">
        <v>616</v>
      </c>
      <c r="E44" s="31">
        <v>1500</v>
      </c>
      <c r="F44" s="33">
        <v>0.31887931419457732</v>
      </c>
      <c r="G44" s="33">
        <v>478.31897129186598</v>
      </c>
      <c r="H44" s="34"/>
      <c r="I44" s="31">
        <v>0</v>
      </c>
      <c r="J44" s="33">
        <v>0</v>
      </c>
      <c r="K44" s="34"/>
      <c r="L44" s="31">
        <v>-500</v>
      </c>
      <c r="M44" s="33">
        <v>-159.43965709728866</v>
      </c>
      <c r="N44" s="34"/>
      <c r="O44" s="31">
        <v>1000</v>
      </c>
      <c r="P44" s="37">
        <v>0.31887931419457732</v>
      </c>
      <c r="Q44" s="35">
        <v>318.87931419457732</v>
      </c>
      <c r="R44" s="1" t="s">
        <v>0</v>
      </c>
    </row>
    <row r="45" spans="2:18" ht="13.5" x14ac:dyDescent="0.25">
      <c r="B45" s="16" t="s">
        <v>221</v>
      </c>
      <c r="C45" s="9" t="s">
        <v>286</v>
      </c>
      <c r="D45" s="9" t="s">
        <v>311</v>
      </c>
      <c r="E45" s="31">
        <v>437</v>
      </c>
      <c r="F45" s="33">
        <v>2.0491935483870964</v>
      </c>
      <c r="G45" s="33">
        <v>895.49758064516118</v>
      </c>
      <c r="H45" s="34"/>
      <c r="I45" s="31">
        <v>0</v>
      </c>
      <c r="J45" s="33">
        <v>0</v>
      </c>
      <c r="K45" s="34"/>
      <c r="L45" s="31">
        <v>0</v>
      </c>
      <c r="M45" s="33">
        <v>0</v>
      </c>
      <c r="N45" s="34"/>
      <c r="O45" s="31">
        <v>437</v>
      </c>
      <c r="P45" s="37">
        <v>2.0491935483870964</v>
      </c>
      <c r="Q45" s="35">
        <v>895.49758064516118</v>
      </c>
      <c r="R45" s="1" t="s">
        <v>0</v>
      </c>
    </row>
    <row r="46" spans="2:18" ht="13.5" x14ac:dyDescent="0.25">
      <c r="B46" s="16" t="s">
        <v>221</v>
      </c>
      <c r="C46" s="9" t="s">
        <v>287</v>
      </c>
      <c r="D46" s="9" t="s">
        <v>312</v>
      </c>
      <c r="E46" s="31">
        <v>0</v>
      </c>
      <c r="F46" s="33">
        <v>2.0327999999999999</v>
      </c>
      <c r="G46" s="33">
        <v>0</v>
      </c>
      <c r="H46" s="34"/>
      <c r="I46" s="31">
        <v>500</v>
      </c>
      <c r="J46" s="33">
        <v>1750</v>
      </c>
      <c r="K46" s="34"/>
      <c r="L46" s="31">
        <v>0</v>
      </c>
      <c r="M46" s="33">
        <v>0</v>
      </c>
      <c r="N46" s="34"/>
      <c r="O46" s="31">
        <v>500</v>
      </c>
      <c r="P46" s="37">
        <v>3.5</v>
      </c>
      <c r="Q46" s="35">
        <v>1750</v>
      </c>
      <c r="R46" s="1" t="s">
        <v>0</v>
      </c>
    </row>
    <row r="47" spans="2:18" ht="13.5" x14ac:dyDescent="0.25">
      <c r="B47" s="16" t="s">
        <v>221</v>
      </c>
      <c r="C47" s="9" t="s">
        <v>288</v>
      </c>
      <c r="D47" s="9" t="s">
        <v>313</v>
      </c>
      <c r="E47" s="31">
        <v>11</v>
      </c>
      <c r="F47" s="33">
        <v>21</v>
      </c>
      <c r="G47" s="33">
        <v>231</v>
      </c>
      <c r="H47" s="34"/>
      <c r="I47" s="31">
        <v>30</v>
      </c>
      <c r="J47" s="33">
        <v>1121.25</v>
      </c>
      <c r="K47" s="34"/>
      <c r="L47" s="31">
        <v>0</v>
      </c>
      <c r="M47" s="33">
        <v>0</v>
      </c>
      <c r="N47" s="34"/>
      <c r="O47" s="31">
        <v>41</v>
      </c>
      <c r="P47" s="37">
        <v>32.981707317073173</v>
      </c>
      <c r="Q47" s="35">
        <v>1352.25</v>
      </c>
      <c r="R47" s="1" t="s">
        <v>0</v>
      </c>
    </row>
    <row r="48" spans="2:18" ht="13.5" x14ac:dyDescent="0.25">
      <c r="B48" s="16" t="s">
        <v>221</v>
      </c>
      <c r="C48" s="9" t="s">
        <v>289</v>
      </c>
      <c r="D48" s="9" t="s">
        <v>314</v>
      </c>
      <c r="E48" s="31">
        <v>0</v>
      </c>
      <c r="F48" s="33">
        <v>35</v>
      </c>
      <c r="G48" s="33">
        <v>0</v>
      </c>
      <c r="H48" s="34"/>
      <c r="I48" s="31">
        <v>30</v>
      </c>
      <c r="J48" s="33">
        <v>672.75</v>
      </c>
      <c r="K48" s="34"/>
      <c r="L48" s="31">
        <v>0</v>
      </c>
      <c r="M48" s="33">
        <v>0</v>
      </c>
      <c r="N48" s="34"/>
      <c r="O48" s="31">
        <v>30</v>
      </c>
      <c r="P48" s="37">
        <v>22.425000000000001</v>
      </c>
      <c r="Q48" s="35">
        <v>672.75</v>
      </c>
      <c r="R48" s="1" t="s">
        <v>0</v>
      </c>
    </row>
    <row r="49" spans="2:18" ht="13.5" x14ac:dyDescent="0.25">
      <c r="B49" s="16" t="s">
        <v>221</v>
      </c>
      <c r="C49" s="9" t="s">
        <v>290</v>
      </c>
      <c r="D49" s="9" t="s">
        <v>315</v>
      </c>
      <c r="E49" s="31">
        <v>147</v>
      </c>
      <c r="F49" s="33">
        <v>1.2636909685783071</v>
      </c>
      <c r="G49" s="33">
        <v>185.76257238101115</v>
      </c>
      <c r="H49" s="34"/>
      <c r="I49" s="31">
        <v>0</v>
      </c>
      <c r="J49" s="33">
        <v>0</v>
      </c>
      <c r="K49" s="34"/>
      <c r="L49" s="31">
        <v>-16</v>
      </c>
      <c r="M49" s="33">
        <v>-20.219055497252914</v>
      </c>
      <c r="N49" s="34"/>
      <c r="O49" s="31">
        <v>131</v>
      </c>
      <c r="P49" s="37">
        <v>1.2636909685783071</v>
      </c>
      <c r="Q49" s="35">
        <v>165.54351688375823</v>
      </c>
      <c r="R49" s="1" t="s">
        <v>0</v>
      </c>
    </row>
    <row r="50" spans="2:18" ht="13.5" x14ac:dyDescent="0.25">
      <c r="B50" s="16" t="s">
        <v>221</v>
      </c>
      <c r="C50" s="9" t="s">
        <v>291</v>
      </c>
      <c r="D50" s="9" t="s">
        <v>316</v>
      </c>
      <c r="E50" s="31">
        <v>0</v>
      </c>
      <c r="F50" s="33">
        <v>19.313535353535354</v>
      </c>
      <c r="G50" s="33">
        <v>0</v>
      </c>
      <c r="H50" s="34"/>
      <c r="I50" s="31">
        <v>4</v>
      </c>
      <c r="J50" s="33">
        <v>1388</v>
      </c>
      <c r="K50" s="34"/>
      <c r="L50" s="31">
        <v>-4</v>
      </c>
      <c r="M50" s="33">
        <v>-1388</v>
      </c>
      <c r="N50" s="34"/>
      <c r="O50" s="31">
        <v>0</v>
      </c>
      <c r="P50" s="37">
        <v>19.313535353535354</v>
      </c>
      <c r="Q50" s="35">
        <v>0</v>
      </c>
      <c r="R50" s="1" t="s">
        <v>0</v>
      </c>
    </row>
    <row r="51" spans="2:18" ht="13.5" x14ac:dyDescent="0.25">
      <c r="B51" s="16" t="s">
        <v>221</v>
      </c>
      <c r="C51" s="9" t="s">
        <v>292</v>
      </c>
      <c r="D51" s="9" t="s">
        <v>317</v>
      </c>
      <c r="E51" s="31">
        <v>67</v>
      </c>
      <c r="F51" s="33">
        <v>6.0088860435339306</v>
      </c>
      <c r="G51" s="33">
        <v>402.59536491677335</v>
      </c>
      <c r="H51" s="34"/>
      <c r="I51" s="31">
        <v>0</v>
      </c>
      <c r="J51" s="33">
        <v>0</v>
      </c>
      <c r="K51" s="34"/>
      <c r="L51" s="31">
        <v>-18</v>
      </c>
      <c r="M51" s="33">
        <v>-108.15994878361076</v>
      </c>
      <c r="N51" s="34"/>
      <c r="O51" s="31">
        <v>49</v>
      </c>
      <c r="P51" s="37">
        <v>6.0088860435339297</v>
      </c>
      <c r="Q51" s="35">
        <v>294.43541613316256</v>
      </c>
      <c r="R51" s="1" t="s">
        <v>0</v>
      </c>
    </row>
    <row r="52" spans="2:18" ht="13.5" x14ac:dyDescent="0.25">
      <c r="B52" s="16" t="s">
        <v>221</v>
      </c>
      <c r="C52" s="9" t="s">
        <v>293</v>
      </c>
      <c r="D52" s="9" t="s">
        <v>138</v>
      </c>
      <c r="E52" s="31">
        <v>0</v>
      </c>
      <c r="F52" s="33">
        <v>12.24</v>
      </c>
      <c r="G52" s="33">
        <v>0</v>
      </c>
      <c r="H52" s="34"/>
      <c r="I52" s="31">
        <v>0</v>
      </c>
      <c r="J52" s="33">
        <v>0</v>
      </c>
      <c r="K52" s="34"/>
      <c r="L52" s="31">
        <v>0</v>
      </c>
      <c r="M52" s="33">
        <v>0</v>
      </c>
      <c r="N52" s="34"/>
      <c r="O52" s="31">
        <v>0</v>
      </c>
      <c r="P52" s="37">
        <v>12.24</v>
      </c>
      <c r="Q52" s="35">
        <v>0</v>
      </c>
      <c r="R52" s="1" t="s">
        <v>0</v>
      </c>
    </row>
    <row r="53" spans="2:18" ht="13.5" x14ac:dyDescent="0.25">
      <c r="B53" s="16" t="s">
        <v>221</v>
      </c>
      <c r="C53" s="9" t="s">
        <v>294</v>
      </c>
      <c r="D53" s="9" t="s">
        <v>617</v>
      </c>
      <c r="E53" s="31">
        <v>16</v>
      </c>
      <c r="F53" s="33">
        <v>9.6940252131014759</v>
      </c>
      <c r="G53" s="33">
        <v>155.10440340962361</v>
      </c>
      <c r="H53" s="34"/>
      <c r="I53" s="31">
        <v>60</v>
      </c>
      <c r="J53" s="33">
        <v>534.63</v>
      </c>
      <c r="K53" s="34"/>
      <c r="L53" s="31">
        <v>-25</v>
      </c>
      <c r="M53" s="33">
        <v>-226.88631691106039</v>
      </c>
      <c r="N53" s="34"/>
      <c r="O53" s="31">
        <v>51</v>
      </c>
      <c r="P53" s="37">
        <v>9.075452676442417</v>
      </c>
      <c r="Q53" s="35">
        <v>462.84808649856325</v>
      </c>
      <c r="R53" s="1" t="s">
        <v>0</v>
      </c>
    </row>
    <row r="54" spans="2:18" ht="13.5" x14ac:dyDescent="0.25">
      <c r="B54" s="16" t="s">
        <v>221</v>
      </c>
      <c r="C54" s="9" t="s">
        <v>295</v>
      </c>
      <c r="D54" s="9" t="s">
        <v>318</v>
      </c>
      <c r="E54" s="31">
        <v>24</v>
      </c>
      <c r="F54" s="33">
        <v>45.061809523809522</v>
      </c>
      <c r="G54" s="33">
        <v>1081.4834285714285</v>
      </c>
      <c r="H54" s="34"/>
      <c r="I54" s="31">
        <v>40</v>
      </c>
      <c r="J54" s="33">
        <v>542.79999999999995</v>
      </c>
      <c r="K54" s="34"/>
      <c r="L54" s="31">
        <v>-3</v>
      </c>
      <c r="M54" s="33">
        <v>-76.138285714285701</v>
      </c>
      <c r="N54" s="34"/>
      <c r="O54" s="31">
        <v>61</v>
      </c>
      <c r="P54" s="37">
        <v>25.379428571428569</v>
      </c>
      <c r="Q54" s="35">
        <v>1548.1451428571427</v>
      </c>
      <c r="R54" s="1" t="s">
        <v>0</v>
      </c>
    </row>
    <row r="55" spans="2:18" ht="13.5" x14ac:dyDescent="0.25">
      <c r="B55" s="16" t="s">
        <v>221</v>
      </c>
      <c r="C55" s="9" t="s">
        <v>296</v>
      </c>
      <c r="D55" s="9" t="s">
        <v>319</v>
      </c>
      <c r="E55" s="31">
        <v>0</v>
      </c>
      <c r="F55" s="33">
        <v>46.657499999999999</v>
      </c>
      <c r="G55" s="33">
        <v>0</v>
      </c>
      <c r="H55" s="34"/>
      <c r="I55" s="31">
        <v>15</v>
      </c>
      <c r="J55" s="33">
        <v>203.55</v>
      </c>
      <c r="K55" s="34"/>
      <c r="L55" s="31">
        <v>-11</v>
      </c>
      <c r="M55" s="33">
        <v>-149.27000000000001</v>
      </c>
      <c r="N55" s="34"/>
      <c r="O55" s="31">
        <v>4</v>
      </c>
      <c r="P55" s="37">
        <v>13.57</v>
      </c>
      <c r="Q55" s="35">
        <v>54.28</v>
      </c>
      <c r="R55" s="1" t="s">
        <v>0</v>
      </c>
    </row>
    <row r="56" spans="2:18" ht="13.5" x14ac:dyDescent="0.25">
      <c r="B56" s="16" t="s">
        <v>221</v>
      </c>
      <c r="C56" s="9" t="s">
        <v>297</v>
      </c>
      <c r="D56" s="9" t="s">
        <v>320</v>
      </c>
      <c r="E56" s="31">
        <v>46</v>
      </c>
      <c r="F56" s="33">
        <v>49.859999999999992</v>
      </c>
      <c r="G56" s="33">
        <v>2293.5599999999995</v>
      </c>
      <c r="H56" s="34"/>
      <c r="I56" s="31">
        <v>1</v>
      </c>
      <c r="J56" s="33">
        <v>13.57</v>
      </c>
      <c r="K56" s="34"/>
      <c r="L56" s="31">
        <v>-1</v>
      </c>
      <c r="M56" s="33">
        <v>-49.087872340425527</v>
      </c>
      <c r="N56" s="34"/>
      <c r="O56" s="31">
        <v>46</v>
      </c>
      <c r="P56" s="37">
        <v>49.08787234042552</v>
      </c>
      <c r="Q56" s="35">
        <v>2258.0421276595739</v>
      </c>
      <c r="R56" s="1" t="s">
        <v>0</v>
      </c>
    </row>
    <row r="57" spans="2:18" ht="13.5" x14ac:dyDescent="0.25">
      <c r="B57" s="16" t="s">
        <v>221</v>
      </c>
      <c r="C57" s="9" t="s">
        <v>298</v>
      </c>
      <c r="D57" s="9" t="s">
        <v>321</v>
      </c>
      <c r="E57" s="31">
        <v>39</v>
      </c>
      <c r="F57" s="33">
        <v>49.86</v>
      </c>
      <c r="G57" s="33">
        <v>1944.54</v>
      </c>
      <c r="H57" s="34"/>
      <c r="I57" s="31">
        <v>0</v>
      </c>
      <c r="J57" s="33">
        <v>0</v>
      </c>
      <c r="K57" s="34"/>
      <c r="L57" s="31">
        <v>0</v>
      </c>
      <c r="M57" s="33">
        <v>0</v>
      </c>
      <c r="N57" s="34"/>
      <c r="O57" s="31">
        <v>39</v>
      </c>
      <c r="P57" s="37">
        <v>49.86</v>
      </c>
      <c r="Q57" s="35">
        <v>1944.54</v>
      </c>
      <c r="R57" s="1" t="s">
        <v>0</v>
      </c>
    </row>
    <row r="58" spans="2:18" ht="13.5" x14ac:dyDescent="0.25">
      <c r="B58" s="16" t="s">
        <v>221</v>
      </c>
      <c r="C58" s="9" t="s">
        <v>299</v>
      </c>
      <c r="D58" s="9" t="s">
        <v>322</v>
      </c>
      <c r="E58" s="31">
        <v>19</v>
      </c>
      <c r="F58" s="33">
        <v>241.58789051724139</v>
      </c>
      <c r="G58" s="33">
        <v>4590.1699198275865</v>
      </c>
      <c r="H58" s="34"/>
      <c r="I58" s="31">
        <v>15</v>
      </c>
      <c r="J58" s="33">
        <v>4476.8999999999996</v>
      </c>
      <c r="K58" s="34"/>
      <c r="L58" s="31">
        <v>0</v>
      </c>
      <c r="M58" s="33">
        <v>0</v>
      </c>
      <c r="N58" s="34"/>
      <c r="O58" s="31">
        <v>34</v>
      </c>
      <c r="P58" s="37">
        <v>266.67852705375253</v>
      </c>
      <c r="Q58" s="35">
        <v>9067.069919827587</v>
      </c>
      <c r="R58" s="1" t="s">
        <v>0</v>
      </c>
    </row>
    <row r="59" spans="2:18" ht="13.5" x14ac:dyDescent="0.25">
      <c r="B59" s="16" t="s">
        <v>221</v>
      </c>
      <c r="C59" s="9" t="s">
        <v>300</v>
      </c>
      <c r="D59" s="9" t="s">
        <v>58</v>
      </c>
      <c r="E59" s="31">
        <v>12</v>
      </c>
      <c r="F59" s="33">
        <v>250.10333333333327</v>
      </c>
      <c r="G59" s="33">
        <v>3001.2399999999993</v>
      </c>
      <c r="H59" s="34"/>
      <c r="I59" s="31">
        <v>0</v>
      </c>
      <c r="J59" s="33">
        <v>0</v>
      </c>
      <c r="K59" s="34"/>
      <c r="L59" s="31">
        <v>0</v>
      </c>
      <c r="M59" s="33">
        <v>0</v>
      </c>
      <c r="N59" s="34"/>
      <c r="O59" s="31">
        <v>12</v>
      </c>
      <c r="P59" s="37">
        <v>250.10333333333327</v>
      </c>
      <c r="Q59" s="35">
        <v>3001.2399999999993</v>
      </c>
      <c r="R59" s="1" t="s">
        <v>0</v>
      </c>
    </row>
    <row r="60" spans="2:18" ht="13.5" x14ac:dyDescent="0.25">
      <c r="B60" s="16" t="s">
        <v>221</v>
      </c>
      <c r="C60" s="9" t="s">
        <v>301</v>
      </c>
      <c r="D60" s="9" t="s">
        <v>323</v>
      </c>
      <c r="E60" s="31">
        <v>36</v>
      </c>
      <c r="F60" s="33">
        <v>109.93812300680153</v>
      </c>
      <c r="G60" s="33">
        <v>3957.7724282448553</v>
      </c>
      <c r="H60" s="34"/>
      <c r="I60" s="31">
        <v>48</v>
      </c>
      <c r="J60" s="33">
        <v>1314</v>
      </c>
      <c r="K60" s="34"/>
      <c r="L60" s="31">
        <v>-5</v>
      </c>
      <c r="M60" s="33">
        <v>-313.79597787171758</v>
      </c>
      <c r="N60" s="34"/>
      <c r="O60" s="31">
        <v>79</v>
      </c>
      <c r="P60" s="37">
        <v>62.759195574343515</v>
      </c>
      <c r="Q60" s="35">
        <v>4957.9764503731376</v>
      </c>
      <c r="R60" s="1" t="s">
        <v>0</v>
      </c>
    </row>
    <row r="61" spans="2:18" ht="13.5" x14ac:dyDescent="0.25">
      <c r="B61" s="16" t="s">
        <v>221</v>
      </c>
      <c r="C61" s="9" t="s">
        <v>302</v>
      </c>
      <c r="D61" s="9" t="s">
        <v>324</v>
      </c>
      <c r="E61" s="31">
        <v>9</v>
      </c>
      <c r="F61" s="33">
        <v>219.74465625000002</v>
      </c>
      <c r="G61" s="33">
        <v>1977.7019062500001</v>
      </c>
      <c r="H61" s="34"/>
      <c r="I61" s="31">
        <v>4</v>
      </c>
      <c r="J61" s="33">
        <v>952</v>
      </c>
      <c r="K61" s="34"/>
      <c r="L61" s="31">
        <v>-3</v>
      </c>
      <c r="M61" s="33">
        <v>-676.0850552884616</v>
      </c>
      <c r="N61" s="34"/>
      <c r="O61" s="31">
        <v>10</v>
      </c>
      <c r="P61" s="37">
        <v>225.36168509615385</v>
      </c>
      <c r="Q61" s="35">
        <v>2253.6168509615386</v>
      </c>
      <c r="R61" s="1" t="s">
        <v>0</v>
      </c>
    </row>
    <row r="62" spans="2:18" ht="13.5" x14ac:dyDescent="0.25">
      <c r="B62" s="16" t="s">
        <v>221</v>
      </c>
      <c r="C62" s="9" t="s">
        <v>303</v>
      </c>
      <c r="D62" s="9" t="s">
        <v>325</v>
      </c>
      <c r="E62" s="31">
        <v>9</v>
      </c>
      <c r="F62" s="33">
        <v>234.07795555555555</v>
      </c>
      <c r="G62" s="33">
        <v>2106.7015999999999</v>
      </c>
      <c r="H62" s="34"/>
      <c r="I62" s="31">
        <v>0</v>
      </c>
      <c r="J62" s="33">
        <v>0</v>
      </c>
      <c r="K62" s="34"/>
      <c r="L62" s="31">
        <v>-6</v>
      </c>
      <c r="M62" s="33">
        <v>-1404.4677333333334</v>
      </c>
      <c r="N62" s="34"/>
      <c r="O62" s="31">
        <v>3</v>
      </c>
      <c r="P62" s="37">
        <v>234.07795555555549</v>
      </c>
      <c r="Q62" s="35">
        <v>702.23386666666647</v>
      </c>
      <c r="R62" s="1" t="s">
        <v>0</v>
      </c>
    </row>
    <row r="63" spans="2:18" ht="13.5" x14ac:dyDescent="0.25">
      <c r="B63" s="16" t="s">
        <v>221</v>
      </c>
      <c r="C63" s="9" t="s">
        <v>304</v>
      </c>
      <c r="D63" s="9" t="s">
        <v>618</v>
      </c>
      <c r="E63" s="31">
        <v>1700</v>
      </c>
      <c r="F63" s="33">
        <v>0.2427441617647059</v>
      </c>
      <c r="G63" s="33">
        <v>412.665075</v>
      </c>
      <c r="H63" s="34"/>
      <c r="I63" s="31">
        <v>14</v>
      </c>
      <c r="J63" s="33">
        <v>456.61</v>
      </c>
      <c r="K63" s="34"/>
      <c r="L63" s="31">
        <v>-1314</v>
      </c>
      <c r="M63" s="33">
        <v>-666.41041338973162</v>
      </c>
      <c r="N63" s="34"/>
      <c r="O63" s="31">
        <v>400</v>
      </c>
      <c r="P63" s="37">
        <v>0.50716165402567104</v>
      </c>
      <c r="Q63" s="35">
        <v>202.8646616102684</v>
      </c>
      <c r="R63" s="1" t="s">
        <v>0</v>
      </c>
    </row>
    <row r="64" spans="2:18" ht="13.5" x14ac:dyDescent="0.25">
      <c r="B64" s="16" t="s">
        <v>221</v>
      </c>
      <c r="C64" s="9" t="s">
        <v>305</v>
      </c>
      <c r="D64" s="9" t="s">
        <v>619</v>
      </c>
      <c r="E64" s="31">
        <v>1</v>
      </c>
      <c r="F64" s="33">
        <v>41.754666666666665</v>
      </c>
      <c r="G64" s="33">
        <v>41.754666666666665</v>
      </c>
      <c r="H64" s="34"/>
      <c r="I64" s="31">
        <v>13</v>
      </c>
      <c r="J64" s="33">
        <v>226.59</v>
      </c>
      <c r="K64" s="34"/>
      <c r="L64" s="31">
        <v>0</v>
      </c>
      <c r="M64" s="33">
        <v>0</v>
      </c>
      <c r="N64" s="34"/>
      <c r="O64" s="31">
        <v>14</v>
      </c>
      <c r="P64" s="37">
        <v>19.16747619047619</v>
      </c>
      <c r="Q64" s="35">
        <v>268.34466666666668</v>
      </c>
      <c r="R64" s="1" t="s">
        <v>0</v>
      </c>
    </row>
    <row r="65" spans="2:18" ht="13.5" x14ac:dyDescent="0.25">
      <c r="B65" s="16" t="s">
        <v>221</v>
      </c>
      <c r="C65" s="9" t="s">
        <v>306</v>
      </c>
      <c r="D65" s="9" t="s">
        <v>326</v>
      </c>
      <c r="E65" s="31">
        <v>31</v>
      </c>
      <c r="F65" s="33">
        <v>66.955265331664606</v>
      </c>
      <c r="G65" s="33">
        <v>2075.6132252816028</v>
      </c>
      <c r="H65" s="34"/>
      <c r="I65" s="31">
        <v>0</v>
      </c>
      <c r="J65" s="33">
        <v>0</v>
      </c>
      <c r="K65" s="34"/>
      <c r="L65" s="31">
        <v>0</v>
      </c>
      <c r="M65" s="33">
        <v>0</v>
      </c>
      <c r="N65" s="34"/>
      <c r="O65" s="31">
        <v>31</v>
      </c>
      <c r="P65" s="37">
        <v>66.955265331664606</v>
      </c>
      <c r="Q65" s="35">
        <v>2075.6132252816028</v>
      </c>
      <c r="R65" s="1" t="s">
        <v>0</v>
      </c>
    </row>
    <row r="66" spans="2:18" ht="13.5" x14ac:dyDescent="0.25">
      <c r="B66" s="16" t="s">
        <v>221</v>
      </c>
      <c r="C66" s="9" t="s">
        <v>405</v>
      </c>
      <c r="D66" s="9" t="s">
        <v>410</v>
      </c>
      <c r="E66" s="31">
        <v>0</v>
      </c>
      <c r="F66" s="33">
        <v>0</v>
      </c>
      <c r="G66" s="33">
        <v>0</v>
      </c>
      <c r="H66" s="34"/>
      <c r="I66" s="31">
        <v>0</v>
      </c>
      <c r="J66" s="33">
        <v>0</v>
      </c>
      <c r="K66" s="34"/>
      <c r="L66" s="31">
        <v>0</v>
      </c>
      <c r="M66" s="33">
        <v>0</v>
      </c>
      <c r="N66" s="34"/>
      <c r="O66" s="31">
        <v>0</v>
      </c>
      <c r="P66" s="37">
        <v>0</v>
      </c>
      <c r="Q66" s="35">
        <v>0</v>
      </c>
      <c r="R66" s="1" t="s">
        <v>0</v>
      </c>
    </row>
    <row r="67" spans="2:18" ht="13.5" x14ac:dyDescent="0.25">
      <c r="B67" s="16" t="s">
        <v>221</v>
      </c>
      <c r="C67" s="9" t="s">
        <v>404</v>
      </c>
      <c r="D67" s="9" t="s">
        <v>620</v>
      </c>
      <c r="E67" s="31">
        <v>33</v>
      </c>
      <c r="F67" s="33">
        <v>28</v>
      </c>
      <c r="G67" s="33">
        <v>924</v>
      </c>
      <c r="H67" s="34"/>
      <c r="I67" s="31">
        <v>96</v>
      </c>
      <c r="J67" s="33">
        <v>2688</v>
      </c>
      <c r="K67" s="34"/>
      <c r="L67" s="31">
        <v>-35</v>
      </c>
      <c r="M67" s="33">
        <v>-980</v>
      </c>
      <c r="N67" s="34"/>
      <c r="O67" s="31">
        <v>94</v>
      </c>
      <c r="P67" s="37">
        <v>28</v>
      </c>
      <c r="Q67" s="35">
        <v>2632</v>
      </c>
      <c r="R67" s="1" t="s">
        <v>0</v>
      </c>
    </row>
    <row r="68" spans="2:18" ht="13.5" x14ac:dyDescent="0.25">
      <c r="B68" s="16" t="s">
        <v>221</v>
      </c>
      <c r="C68" s="9" t="s">
        <v>307</v>
      </c>
      <c r="D68" s="9" t="s">
        <v>327</v>
      </c>
      <c r="E68" s="31">
        <v>0</v>
      </c>
      <c r="F68" s="33">
        <v>0</v>
      </c>
      <c r="G68" s="33">
        <v>0</v>
      </c>
      <c r="H68" s="34"/>
      <c r="I68" s="31">
        <v>0</v>
      </c>
      <c r="J68" s="33">
        <v>0</v>
      </c>
      <c r="K68" s="34"/>
      <c r="L68" s="31">
        <v>0</v>
      </c>
      <c r="M68" s="33">
        <v>0</v>
      </c>
      <c r="N68" s="34"/>
      <c r="O68" s="31">
        <v>0</v>
      </c>
      <c r="P68" s="37">
        <v>0</v>
      </c>
      <c r="Q68" s="35">
        <v>0</v>
      </c>
      <c r="R68" s="1" t="s">
        <v>0</v>
      </c>
    </row>
    <row r="69" spans="2:18" ht="13.5" x14ac:dyDescent="0.25">
      <c r="B69" s="16" t="s">
        <v>221</v>
      </c>
      <c r="C69" s="9" t="s">
        <v>308</v>
      </c>
      <c r="D69" s="9" t="s">
        <v>328</v>
      </c>
      <c r="E69" s="31">
        <v>42</v>
      </c>
      <c r="F69" s="33">
        <v>46.666666666666664</v>
      </c>
      <c r="G69" s="33">
        <v>1960</v>
      </c>
      <c r="H69" s="34"/>
      <c r="I69" s="31">
        <v>2</v>
      </c>
      <c r="J69" s="33">
        <v>840</v>
      </c>
      <c r="K69" s="34"/>
      <c r="L69" s="31">
        <v>-8</v>
      </c>
      <c r="M69" s="33">
        <v>-509.09090909090907</v>
      </c>
      <c r="N69" s="34"/>
      <c r="O69" s="31">
        <v>36</v>
      </c>
      <c r="P69" s="37">
        <v>63.63636363636364</v>
      </c>
      <c r="Q69" s="35">
        <v>2290.909090909091</v>
      </c>
      <c r="R69" s="1" t="s">
        <v>0</v>
      </c>
    </row>
    <row r="70" spans="2:18" ht="13.5" x14ac:dyDescent="0.25">
      <c r="B70" s="16" t="s">
        <v>221</v>
      </c>
      <c r="C70" s="9" t="s">
        <v>309</v>
      </c>
      <c r="D70" s="9" t="s">
        <v>621</v>
      </c>
      <c r="E70" s="31">
        <v>0</v>
      </c>
      <c r="F70" s="33">
        <v>0.23996674530346052</v>
      </c>
      <c r="G70" s="33">
        <v>0</v>
      </c>
      <c r="H70" s="34"/>
      <c r="I70" s="31">
        <v>380</v>
      </c>
      <c r="J70" s="33">
        <v>7332</v>
      </c>
      <c r="K70" s="34"/>
      <c r="L70" s="31">
        <v>-111</v>
      </c>
      <c r="M70" s="33">
        <v>-2141.7157894736843</v>
      </c>
      <c r="N70" s="34"/>
      <c r="O70" s="31">
        <v>269</v>
      </c>
      <c r="P70" s="37">
        <v>19.294736842105262</v>
      </c>
      <c r="Q70" s="35">
        <v>5190.2842105263153</v>
      </c>
      <c r="R70" s="1" t="s">
        <v>0</v>
      </c>
    </row>
    <row r="71" spans="2:18" ht="13.5" x14ac:dyDescent="0.25">
      <c r="B71" s="16" t="s">
        <v>221</v>
      </c>
      <c r="C71" s="9" t="s">
        <v>310</v>
      </c>
      <c r="D71" s="9" t="s">
        <v>622</v>
      </c>
      <c r="E71" s="31">
        <v>0</v>
      </c>
      <c r="F71" s="33">
        <v>0.17231425536762013</v>
      </c>
      <c r="G71" s="33">
        <v>0</v>
      </c>
      <c r="H71" s="34"/>
      <c r="I71" s="31">
        <v>140</v>
      </c>
      <c r="J71" s="33">
        <v>2214</v>
      </c>
      <c r="K71" s="34"/>
      <c r="L71" s="31">
        <v>-83</v>
      </c>
      <c r="M71" s="33">
        <v>-1312.5857142857144</v>
      </c>
      <c r="N71" s="34"/>
      <c r="O71" s="31">
        <v>57</v>
      </c>
      <c r="P71" s="37">
        <v>15.814285714285711</v>
      </c>
      <c r="Q71" s="35">
        <v>901.4142857142856</v>
      </c>
      <c r="R71" s="1" t="s">
        <v>0</v>
      </c>
    </row>
    <row r="72" spans="2:18" ht="13.5" x14ac:dyDescent="0.25">
      <c r="B72" s="16" t="s">
        <v>221</v>
      </c>
      <c r="C72" s="9" t="s">
        <v>403</v>
      </c>
      <c r="D72" s="9" t="s">
        <v>409</v>
      </c>
      <c r="E72" s="31">
        <v>0</v>
      </c>
      <c r="F72" s="33">
        <v>7.7981215824032954</v>
      </c>
      <c r="G72" s="33">
        <v>0</v>
      </c>
      <c r="H72" s="34"/>
      <c r="I72" s="31">
        <v>288</v>
      </c>
      <c r="J72" s="33">
        <v>2573.42</v>
      </c>
      <c r="K72" s="34"/>
      <c r="L72" s="31">
        <v>-24</v>
      </c>
      <c r="M72" s="33">
        <v>-214.45166666666665</v>
      </c>
      <c r="N72" s="34"/>
      <c r="O72" s="31">
        <v>264</v>
      </c>
      <c r="P72" s="37">
        <v>8.9354861111111106</v>
      </c>
      <c r="Q72" s="35">
        <v>2358.9683333333332</v>
      </c>
      <c r="R72" s="1" t="s">
        <v>0</v>
      </c>
    </row>
    <row r="73" spans="2:18" ht="13.5" x14ac:dyDescent="0.25">
      <c r="B73" s="16" t="s">
        <v>221</v>
      </c>
      <c r="C73" s="9" t="s">
        <v>460</v>
      </c>
      <c r="D73" s="9" t="s">
        <v>461</v>
      </c>
      <c r="E73" s="31">
        <v>15200</v>
      </c>
      <c r="F73" s="33">
        <v>0.30369607771934393</v>
      </c>
      <c r="G73" s="33">
        <v>4616.1803813340275</v>
      </c>
      <c r="H73" s="34"/>
      <c r="I73" s="31">
        <v>0</v>
      </c>
      <c r="J73" s="33">
        <v>0</v>
      </c>
      <c r="K73" s="34"/>
      <c r="L73" s="31">
        <v>-1200</v>
      </c>
      <c r="M73" s="33">
        <v>-364.43529326321271</v>
      </c>
      <c r="N73" s="34"/>
      <c r="O73" s="31">
        <v>14000</v>
      </c>
      <c r="P73" s="37">
        <v>0.30369607771934393</v>
      </c>
      <c r="Q73" s="35">
        <v>4251.7450880708147</v>
      </c>
      <c r="R73" s="1" t="s">
        <v>0</v>
      </c>
    </row>
    <row r="74" spans="2:18" ht="13.5" x14ac:dyDescent="0.25">
      <c r="B74" s="16" t="s">
        <v>221</v>
      </c>
      <c r="C74" s="9" t="s">
        <v>462</v>
      </c>
      <c r="D74" s="9" t="s">
        <v>463</v>
      </c>
      <c r="E74" s="31">
        <v>0</v>
      </c>
      <c r="F74" s="33">
        <v>0</v>
      </c>
      <c r="G74" s="33">
        <v>0</v>
      </c>
      <c r="H74" s="34"/>
      <c r="I74" s="31">
        <v>0</v>
      </c>
      <c r="J74" s="33">
        <v>0</v>
      </c>
      <c r="K74" s="34"/>
      <c r="L74" s="31">
        <v>0</v>
      </c>
      <c r="M74" s="33">
        <v>0</v>
      </c>
      <c r="N74" s="34"/>
      <c r="O74" s="31">
        <v>0</v>
      </c>
      <c r="P74" s="37">
        <v>0</v>
      </c>
      <c r="Q74" s="35">
        <v>0</v>
      </c>
      <c r="R74" s="1" t="s">
        <v>0</v>
      </c>
    </row>
    <row r="75" spans="2:18" ht="13.5" x14ac:dyDescent="0.25">
      <c r="B75" s="16" t="s">
        <v>221</v>
      </c>
      <c r="C75" s="9" t="s">
        <v>563</v>
      </c>
      <c r="D75" s="9" t="s">
        <v>564</v>
      </c>
      <c r="E75" s="31">
        <v>83</v>
      </c>
      <c r="F75" s="33">
        <v>0</v>
      </c>
      <c r="G75" s="33">
        <v>0</v>
      </c>
      <c r="H75" s="34"/>
      <c r="I75" s="31">
        <v>0</v>
      </c>
      <c r="J75" s="33">
        <v>0</v>
      </c>
      <c r="K75" s="34"/>
      <c r="L75" s="31">
        <v>0</v>
      </c>
      <c r="M75" s="33">
        <v>0</v>
      </c>
      <c r="N75" s="34"/>
      <c r="O75" s="31">
        <v>83</v>
      </c>
      <c r="P75" s="37">
        <v>0</v>
      </c>
      <c r="Q75" s="35">
        <v>0</v>
      </c>
      <c r="R75" s="1" t="s">
        <v>0</v>
      </c>
    </row>
    <row r="76" spans="2:18" ht="13.5" x14ac:dyDescent="0.25">
      <c r="B76" s="16" t="s">
        <v>221</v>
      </c>
      <c r="C76" s="9" t="s">
        <v>487</v>
      </c>
      <c r="D76" s="9" t="s">
        <v>488</v>
      </c>
      <c r="E76" s="31">
        <v>0</v>
      </c>
      <c r="F76" s="33">
        <v>148.16</v>
      </c>
      <c r="G76" s="33">
        <v>0</v>
      </c>
      <c r="H76" s="34"/>
      <c r="I76" s="31">
        <v>16</v>
      </c>
      <c r="J76" s="33">
        <v>2370.6</v>
      </c>
      <c r="K76" s="34"/>
      <c r="L76" s="31">
        <v>-16</v>
      </c>
      <c r="M76" s="33">
        <v>-2370.6</v>
      </c>
      <c r="N76" s="34"/>
      <c r="O76" s="31">
        <v>0</v>
      </c>
      <c r="P76" s="37">
        <v>148.16</v>
      </c>
      <c r="Q76" s="35">
        <v>0</v>
      </c>
      <c r="R76" s="1" t="s">
        <v>0</v>
      </c>
    </row>
    <row r="77" spans="2:18" ht="13.5" x14ac:dyDescent="0.25">
      <c r="B77" s="16" t="s">
        <v>221</v>
      </c>
      <c r="C77" s="9" t="s">
        <v>467</v>
      </c>
      <c r="D77" s="9" t="s">
        <v>468</v>
      </c>
      <c r="E77" s="31">
        <v>84000</v>
      </c>
      <c r="F77" s="33">
        <v>2.1799999999999996E-2</v>
      </c>
      <c r="G77" s="33">
        <v>1831.1999999999998</v>
      </c>
      <c r="H77" s="34"/>
      <c r="I77" s="31">
        <v>0</v>
      </c>
      <c r="J77" s="33">
        <v>0</v>
      </c>
      <c r="K77" s="34"/>
      <c r="L77" s="31">
        <v>-4</v>
      </c>
      <c r="M77" s="33">
        <v>-8.7199999999999986E-2</v>
      </c>
      <c r="N77" s="34"/>
      <c r="O77" s="31">
        <v>83996</v>
      </c>
      <c r="P77" s="37">
        <v>2.18E-2</v>
      </c>
      <c r="Q77" s="35">
        <v>1831.1127999999999</v>
      </c>
      <c r="R77" s="1" t="s">
        <v>521</v>
      </c>
    </row>
    <row r="78" spans="2:18" ht="13.5" x14ac:dyDescent="0.25">
      <c r="B78" s="16" t="s">
        <v>221</v>
      </c>
      <c r="C78" s="9" t="s">
        <v>578</v>
      </c>
      <c r="D78" s="9" t="s">
        <v>579</v>
      </c>
      <c r="E78" s="31">
        <v>0</v>
      </c>
      <c r="F78" s="33">
        <v>0</v>
      </c>
      <c r="G78" s="33">
        <v>0</v>
      </c>
      <c r="H78" s="34"/>
      <c r="I78" s="31">
        <v>24</v>
      </c>
      <c r="J78" s="33">
        <v>1616</v>
      </c>
      <c r="K78" s="34"/>
      <c r="L78" s="31">
        <v>0</v>
      </c>
      <c r="M78" s="33">
        <v>0</v>
      </c>
      <c r="N78" s="34"/>
      <c r="O78" s="31">
        <v>24</v>
      </c>
      <c r="P78" s="37">
        <v>67.333333333333329</v>
      </c>
      <c r="Q78" s="35">
        <v>1616</v>
      </c>
      <c r="R78" s="1" t="s">
        <v>0</v>
      </c>
    </row>
    <row r="79" spans="2:18" ht="13.5" x14ac:dyDescent="0.25">
      <c r="B79" s="16" t="s">
        <v>222</v>
      </c>
      <c r="C79" s="9" t="s">
        <v>133</v>
      </c>
      <c r="D79" s="9" t="s">
        <v>329</v>
      </c>
      <c r="E79" s="31">
        <v>0</v>
      </c>
      <c r="F79" s="33">
        <v>0</v>
      </c>
      <c r="G79" s="33">
        <v>0</v>
      </c>
      <c r="H79" s="34"/>
      <c r="I79" s="31">
        <v>0</v>
      </c>
      <c r="J79" s="33">
        <v>0</v>
      </c>
      <c r="K79" s="34"/>
      <c r="L79" s="31">
        <v>0</v>
      </c>
      <c r="M79" s="33">
        <v>0</v>
      </c>
      <c r="N79" s="34"/>
      <c r="O79" s="31">
        <v>0</v>
      </c>
      <c r="P79" s="37">
        <v>0</v>
      </c>
      <c r="Q79" s="35">
        <v>0</v>
      </c>
      <c r="R79" s="1" t="s">
        <v>0</v>
      </c>
    </row>
    <row r="80" spans="2:18" ht="13.5" x14ac:dyDescent="0.25">
      <c r="B80" s="16" t="s">
        <v>222</v>
      </c>
      <c r="C80" s="9" t="s">
        <v>134</v>
      </c>
      <c r="D80" s="9" t="s">
        <v>623</v>
      </c>
      <c r="E80" s="31">
        <v>0</v>
      </c>
      <c r="F80" s="33">
        <v>0</v>
      </c>
      <c r="G80" s="33">
        <v>0</v>
      </c>
      <c r="H80" s="34"/>
      <c r="I80" s="31">
        <v>0</v>
      </c>
      <c r="J80" s="33">
        <v>0</v>
      </c>
      <c r="K80" s="34"/>
      <c r="L80" s="31">
        <v>0</v>
      </c>
      <c r="M80" s="33">
        <v>0</v>
      </c>
      <c r="N80" s="34"/>
      <c r="O80" s="31">
        <v>0</v>
      </c>
      <c r="P80" s="37">
        <v>0</v>
      </c>
      <c r="Q80" s="35">
        <v>0</v>
      </c>
      <c r="R80" s="1" t="s">
        <v>0</v>
      </c>
    </row>
    <row r="81" spans="2:18" ht="13.5" x14ac:dyDescent="0.25">
      <c r="B81" s="16" t="s">
        <v>222</v>
      </c>
      <c r="C81" s="9" t="s">
        <v>215</v>
      </c>
      <c r="D81" s="9" t="s">
        <v>624</v>
      </c>
      <c r="E81" s="31">
        <v>0</v>
      </c>
      <c r="F81" s="33">
        <v>0</v>
      </c>
      <c r="G81" s="33">
        <v>0</v>
      </c>
      <c r="H81" s="34"/>
      <c r="I81" s="31">
        <v>0</v>
      </c>
      <c r="J81" s="33">
        <v>0</v>
      </c>
      <c r="K81" s="34"/>
      <c r="L81" s="31">
        <v>0</v>
      </c>
      <c r="M81" s="33">
        <v>0</v>
      </c>
      <c r="N81" s="34"/>
      <c r="O81" s="31">
        <v>0</v>
      </c>
      <c r="P81" s="37">
        <v>0</v>
      </c>
      <c r="Q81" s="35">
        <v>0</v>
      </c>
      <c r="R81" s="1" t="s">
        <v>0</v>
      </c>
    </row>
    <row r="82" spans="2:18" ht="13.5" x14ac:dyDescent="0.25">
      <c r="B82" s="16" t="s">
        <v>222</v>
      </c>
      <c r="C82" s="9" t="s">
        <v>135</v>
      </c>
      <c r="D82" s="9" t="s">
        <v>625</v>
      </c>
      <c r="E82" s="31">
        <v>0</v>
      </c>
      <c r="F82" s="33">
        <v>0</v>
      </c>
      <c r="G82" s="33">
        <v>0</v>
      </c>
      <c r="H82" s="34"/>
      <c r="I82" s="31">
        <v>0</v>
      </c>
      <c r="J82" s="33">
        <v>0</v>
      </c>
      <c r="K82" s="34"/>
      <c r="L82" s="31">
        <v>0</v>
      </c>
      <c r="M82" s="33">
        <v>0</v>
      </c>
      <c r="N82" s="34"/>
      <c r="O82" s="31">
        <v>0</v>
      </c>
      <c r="P82" s="37">
        <v>0</v>
      </c>
      <c r="Q82" s="35">
        <v>0</v>
      </c>
      <c r="R82" s="1" t="s">
        <v>0</v>
      </c>
    </row>
    <row r="83" spans="2:18" ht="13.5" x14ac:dyDescent="0.25">
      <c r="B83" s="16" t="s">
        <v>222</v>
      </c>
      <c r="C83" s="9" t="s">
        <v>136</v>
      </c>
      <c r="D83" s="9" t="s">
        <v>331</v>
      </c>
      <c r="E83" s="31">
        <v>0</v>
      </c>
      <c r="F83" s="33">
        <v>0</v>
      </c>
      <c r="G83" s="33">
        <v>0</v>
      </c>
      <c r="H83" s="34"/>
      <c r="I83" s="31">
        <v>0</v>
      </c>
      <c r="J83" s="33">
        <v>0</v>
      </c>
      <c r="K83" s="34"/>
      <c r="L83" s="31">
        <v>0</v>
      </c>
      <c r="M83" s="33">
        <v>0</v>
      </c>
      <c r="N83" s="34"/>
      <c r="O83" s="31">
        <v>0</v>
      </c>
      <c r="P83" s="37">
        <v>0</v>
      </c>
      <c r="Q83" s="35">
        <v>0</v>
      </c>
      <c r="R83" s="1" t="s">
        <v>0</v>
      </c>
    </row>
    <row r="84" spans="2:18" ht="13.5" x14ac:dyDescent="0.25">
      <c r="B84" s="16" t="s">
        <v>222</v>
      </c>
      <c r="C84" s="9" t="s">
        <v>137</v>
      </c>
      <c r="D84" s="9" t="s">
        <v>138</v>
      </c>
      <c r="E84" s="31">
        <v>0</v>
      </c>
      <c r="F84" s="33">
        <v>0</v>
      </c>
      <c r="G84" s="33">
        <v>0</v>
      </c>
      <c r="H84" s="34"/>
      <c r="I84" s="31">
        <v>0</v>
      </c>
      <c r="J84" s="33">
        <v>0</v>
      </c>
      <c r="K84" s="34"/>
      <c r="L84" s="31">
        <v>0</v>
      </c>
      <c r="M84" s="33">
        <v>0</v>
      </c>
      <c r="N84" s="34"/>
      <c r="O84" s="31">
        <v>0</v>
      </c>
      <c r="P84" s="37">
        <v>0</v>
      </c>
      <c r="Q84" s="35">
        <v>0</v>
      </c>
      <c r="R84" s="1" t="s">
        <v>0</v>
      </c>
    </row>
    <row r="85" spans="2:18" ht="13.5" x14ac:dyDescent="0.25">
      <c r="B85" s="16" t="s">
        <v>222</v>
      </c>
      <c r="C85" s="9" t="s">
        <v>182</v>
      </c>
      <c r="D85" s="9" t="s">
        <v>626</v>
      </c>
      <c r="E85" s="31">
        <v>0</v>
      </c>
      <c r="F85" s="33">
        <v>0</v>
      </c>
      <c r="G85" s="33">
        <v>0</v>
      </c>
      <c r="H85" s="34"/>
      <c r="I85" s="31">
        <v>0</v>
      </c>
      <c r="J85" s="33">
        <v>0</v>
      </c>
      <c r="K85" s="34"/>
      <c r="L85" s="31">
        <v>0</v>
      </c>
      <c r="M85" s="33">
        <v>0</v>
      </c>
      <c r="N85" s="34"/>
      <c r="O85" s="31">
        <v>0</v>
      </c>
      <c r="P85" s="37">
        <v>0</v>
      </c>
      <c r="Q85" s="35">
        <v>0</v>
      </c>
      <c r="R85" s="1" t="s">
        <v>0</v>
      </c>
    </row>
    <row r="86" spans="2:18" ht="13.5" x14ac:dyDescent="0.25">
      <c r="B86" s="16" t="s">
        <v>222</v>
      </c>
      <c r="C86" s="9" t="s">
        <v>183</v>
      </c>
      <c r="D86" s="9" t="s">
        <v>410</v>
      </c>
      <c r="E86" s="31">
        <v>0</v>
      </c>
      <c r="F86" s="33">
        <v>0</v>
      </c>
      <c r="G86" s="33">
        <v>0</v>
      </c>
      <c r="H86" s="34"/>
      <c r="I86" s="31">
        <v>0</v>
      </c>
      <c r="J86" s="33">
        <v>0</v>
      </c>
      <c r="K86" s="34"/>
      <c r="L86" s="31">
        <v>0</v>
      </c>
      <c r="M86" s="33">
        <v>0</v>
      </c>
      <c r="N86" s="34"/>
      <c r="O86" s="31">
        <v>0</v>
      </c>
      <c r="P86" s="37">
        <v>0</v>
      </c>
      <c r="Q86" s="35">
        <v>0</v>
      </c>
      <c r="R86" s="1" t="s">
        <v>0</v>
      </c>
    </row>
    <row r="87" spans="2:18" ht="13.5" x14ac:dyDescent="0.25">
      <c r="B87" s="16" t="s">
        <v>222</v>
      </c>
      <c r="C87" s="9" t="s">
        <v>184</v>
      </c>
      <c r="D87" s="9" t="s">
        <v>627</v>
      </c>
      <c r="E87" s="31">
        <v>0</v>
      </c>
      <c r="F87" s="33">
        <v>0</v>
      </c>
      <c r="G87" s="33">
        <v>0</v>
      </c>
      <c r="H87" s="34"/>
      <c r="I87" s="31">
        <v>0</v>
      </c>
      <c r="J87" s="33">
        <v>0</v>
      </c>
      <c r="K87" s="34"/>
      <c r="L87" s="31">
        <v>0</v>
      </c>
      <c r="M87" s="33">
        <v>0</v>
      </c>
      <c r="N87" s="34"/>
      <c r="O87" s="31">
        <v>0</v>
      </c>
      <c r="P87" s="37">
        <v>0</v>
      </c>
      <c r="Q87" s="35">
        <v>0</v>
      </c>
      <c r="R87" s="1" t="s">
        <v>0</v>
      </c>
    </row>
    <row r="88" spans="2:18" ht="13.5" x14ac:dyDescent="0.25">
      <c r="B88" s="16" t="s">
        <v>222</v>
      </c>
      <c r="C88" s="9" t="s">
        <v>185</v>
      </c>
      <c r="D88" s="9" t="s">
        <v>628</v>
      </c>
      <c r="E88" s="31">
        <v>0</v>
      </c>
      <c r="F88" s="33">
        <v>0</v>
      </c>
      <c r="G88" s="33">
        <v>0</v>
      </c>
      <c r="H88" s="34"/>
      <c r="I88" s="31">
        <v>0</v>
      </c>
      <c r="J88" s="33">
        <v>0</v>
      </c>
      <c r="K88" s="34"/>
      <c r="L88" s="31">
        <v>0</v>
      </c>
      <c r="M88" s="33">
        <v>0</v>
      </c>
      <c r="N88" s="34"/>
      <c r="O88" s="31">
        <v>0</v>
      </c>
      <c r="P88" s="37">
        <v>0</v>
      </c>
      <c r="Q88" s="35">
        <v>0</v>
      </c>
      <c r="R88" s="1" t="s">
        <v>0</v>
      </c>
    </row>
    <row r="89" spans="2:18" ht="13.5" x14ac:dyDescent="0.25">
      <c r="B89" s="16" t="s">
        <v>222</v>
      </c>
      <c r="C89" s="9" t="s">
        <v>73</v>
      </c>
      <c r="D89" s="9" t="s">
        <v>629</v>
      </c>
      <c r="E89" s="31">
        <v>0</v>
      </c>
      <c r="F89" s="33">
        <v>0</v>
      </c>
      <c r="G89" s="33">
        <v>0</v>
      </c>
      <c r="H89" s="34"/>
      <c r="I89" s="31">
        <v>0</v>
      </c>
      <c r="J89" s="33">
        <v>0</v>
      </c>
      <c r="K89" s="34"/>
      <c r="L89" s="31">
        <v>0</v>
      </c>
      <c r="M89" s="33">
        <v>0</v>
      </c>
      <c r="N89" s="34"/>
      <c r="O89" s="31">
        <v>0</v>
      </c>
      <c r="P89" s="37">
        <v>0</v>
      </c>
      <c r="Q89" s="35">
        <v>0</v>
      </c>
      <c r="R89" s="1" t="s">
        <v>0</v>
      </c>
    </row>
    <row r="90" spans="2:18" ht="13.5" x14ac:dyDescent="0.25">
      <c r="B90" s="16" t="s">
        <v>222</v>
      </c>
      <c r="C90" s="9" t="s">
        <v>74</v>
      </c>
      <c r="D90" s="9" t="s">
        <v>630</v>
      </c>
      <c r="E90" s="31">
        <v>0</v>
      </c>
      <c r="F90" s="33">
        <v>0</v>
      </c>
      <c r="G90" s="33">
        <v>0</v>
      </c>
      <c r="H90" s="34"/>
      <c r="I90" s="31">
        <v>0</v>
      </c>
      <c r="J90" s="33">
        <v>0</v>
      </c>
      <c r="K90" s="34"/>
      <c r="L90" s="31">
        <v>0</v>
      </c>
      <c r="M90" s="33">
        <v>0</v>
      </c>
      <c r="N90" s="34"/>
      <c r="O90" s="31">
        <v>0</v>
      </c>
      <c r="P90" s="37">
        <v>0</v>
      </c>
      <c r="Q90" s="35">
        <v>0</v>
      </c>
      <c r="R90" s="1" t="s">
        <v>0</v>
      </c>
    </row>
    <row r="91" spans="2:18" ht="13.5" x14ac:dyDescent="0.25">
      <c r="B91" s="16" t="s">
        <v>222</v>
      </c>
      <c r="C91" s="9" t="s">
        <v>168</v>
      </c>
      <c r="D91" s="9" t="s">
        <v>631</v>
      </c>
      <c r="E91" s="31">
        <v>0</v>
      </c>
      <c r="F91" s="33">
        <v>0</v>
      </c>
      <c r="G91" s="33">
        <v>0</v>
      </c>
      <c r="H91" s="34"/>
      <c r="I91" s="31">
        <v>0</v>
      </c>
      <c r="J91" s="33">
        <v>0</v>
      </c>
      <c r="K91" s="34"/>
      <c r="L91" s="31">
        <v>0</v>
      </c>
      <c r="M91" s="33">
        <v>0</v>
      </c>
      <c r="N91" s="34"/>
      <c r="O91" s="31">
        <v>0</v>
      </c>
      <c r="P91" s="37">
        <v>0</v>
      </c>
      <c r="Q91" s="35">
        <v>0</v>
      </c>
      <c r="R91" s="1" t="s">
        <v>0</v>
      </c>
    </row>
    <row r="92" spans="2:18" ht="13.5" x14ac:dyDescent="0.25">
      <c r="B92" s="16" t="s">
        <v>222</v>
      </c>
      <c r="C92" s="9" t="s">
        <v>452</v>
      </c>
      <c r="D92" s="9" t="s">
        <v>453</v>
      </c>
      <c r="E92" s="31">
        <v>0</v>
      </c>
      <c r="F92" s="33">
        <v>0</v>
      </c>
      <c r="G92" s="33">
        <v>0</v>
      </c>
      <c r="H92" s="34"/>
      <c r="I92" s="31">
        <v>0</v>
      </c>
      <c r="J92" s="33">
        <v>0</v>
      </c>
      <c r="K92" s="34"/>
      <c r="L92" s="31">
        <v>0</v>
      </c>
      <c r="M92" s="33">
        <v>0</v>
      </c>
      <c r="N92" s="34"/>
      <c r="O92" s="31">
        <v>0</v>
      </c>
      <c r="P92" s="37">
        <v>0</v>
      </c>
      <c r="Q92" s="35">
        <v>0</v>
      </c>
      <c r="R92" s="1" t="s">
        <v>0</v>
      </c>
    </row>
    <row r="93" spans="2:18" ht="13.5" x14ac:dyDescent="0.25">
      <c r="B93" s="16" t="s">
        <v>222</v>
      </c>
      <c r="C93" s="9" t="s">
        <v>75</v>
      </c>
      <c r="D93" s="9" t="s">
        <v>632</v>
      </c>
      <c r="E93" s="31">
        <v>0</v>
      </c>
      <c r="F93" s="33">
        <v>0</v>
      </c>
      <c r="G93" s="33">
        <v>0</v>
      </c>
      <c r="H93" s="34"/>
      <c r="I93" s="31">
        <v>0</v>
      </c>
      <c r="J93" s="33">
        <v>0</v>
      </c>
      <c r="K93" s="34"/>
      <c r="L93" s="31">
        <v>0</v>
      </c>
      <c r="M93" s="33">
        <v>0</v>
      </c>
      <c r="N93" s="34"/>
      <c r="O93" s="31">
        <v>0</v>
      </c>
      <c r="P93" s="37">
        <v>0</v>
      </c>
      <c r="Q93" s="35">
        <v>0</v>
      </c>
      <c r="R93" s="1" t="s">
        <v>0</v>
      </c>
    </row>
    <row r="94" spans="2:18" ht="13.5" x14ac:dyDescent="0.25">
      <c r="B94" s="16" t="s">
        <v>222</v>
      </c>
      <c r="C94" s="9" t="s">
        <v>186</v>
      </c>
      <c r="D94" s="9" t="s">
        <v>187</v>
      </c>
      <c r="E94" s="31">
        <v>0</v>
      </c>
      <c r="F94" s="33">
        <v>0</v>
      </c>
      <c r="G94" s="33">
        <v>0</v>
      </c>
      <c r="H94" s="34"/>
      <c r="I94" s="31">
        <v>0</v>
      </c>
      <c r="J94" s="33">
        <v>0</v>
      </c>
      <c r="K94" s="34"/>
      <c r="L94" s="31">
        <v>0</v>
      </c>
      <c r="M94" s="33">
        <v>0</v>
      </c>
      <c r="N94" s="34"/>
      <c r="O94" s="31">
        <v>0</v>
      </c>
      <c r="P94" s="37">
        <v>0</v>
      </c>
      <c r="Q94" s="35">
        <v>0</v>
      </c>
      <c r="R94" s="1" t="s">
        <v>0</v>
      </c>
    </row>
    <row r="95" spans="2:18" ht="13.5" x14ac:dyDescent="0.25">
      <c r="B95" s="16" t="s">
        <v>222</v>
      </c>
      <c r="C95" s="9" t="s">
        <v>169</v>
      </c>
      <c r="D95" s="9" t="s">
        <v>633</v>
      </c>
      <c r="E95" s="31">
        <v>0</v>
      </c>
      <c r="F95" s="33">
        <v>0</v>
      </c>
      <c r="G95" s="33">
        <v>0</v>
      </c>
      <c r="H95" s="34"/>
      <c r="I95" s="31">
        <v>0</v>
      </c>
      <c r="J95" s="33">
        <v>0</v>
      </c>
      <c r="K95" s="34"/>
      <c r="L95" s="31">
        <v>0</v>
      </c>
      <c r="M95" s="33">
        <v>0</v>
      </c>
      <c r="N95" s="34"/>
      <c r="O95" s="31">
        <v>0</v>
      </c>
      <c r="P95" s="37">
        <v>0</v>
      </c>
      <c r="Q95" s="35">
        <v>0</v>
      </c>
      <c r="R95" s="1" t="s">
        <v>0</v>
      </c>
    </row>
    <row r="96" spans="2:18" ht="13.5" x14ac:dyDescent="0.25">
      <c r="B96" s="16" t="s">
        <v>222</v>
      </c>
      <c r="C96" s="9" t="s">
        <v>76</v>
      </c>
      <c r="D96" s="9" t="s">
        <v>634</v>
      </c>
      <c r="E96" s="31">
        <v>0</v>
      </c>
      <c r="F96" s="33">
        <v>0</v>
      </c>
      <c r="G96" s="33">
        <v>0</v>
      </c>
      <c r="H96" s="34"/>
      <c r="I96" s="31">
        <v>0</v>
      </c>
      <c r="J96" s="33">
        <v>0</v>
      </c>
      <c r="K96" s="34"/>
      <c r="L96" s="31">
        <v>0</v>
      </c>
      <c r="M96" s="33">
        <v>0</v>
      </c>
      <c r="N96" s="34"/>
      <c r="O96" s="31">
        <v>0</v>
      </c>
      <c r="P96" s="37">
        <v>0</v>
      </c>
      <c r="Q96" s="35">
        <v>0</v>
      </c>
      <c r="R96" s="1" t="s">
        <v>0</v>
      </c>
    </row>
    <row r="97" spans="2:18" ht="13.5" x14ac:dyDescent="0.25">
      <c r="B97" s="16" t="s">
        <v>222</v>
      </c>
      <c r="C97" s="9" t="s">
        <v>77</v>
      </c>
      <c r="D97" s="9" t="s">
        <v>635</v>
      </c>
      <c r="E97" s="31">
        <v>0</v>
      </c>
      <c r="F97" s="33">
        <v>0</v>
      </c>
      <c r="G97" s="33">
        <v>0</v>
      </c>
      <c r="H97" s="34"/>
      <c r="I97" s="31">
        <v>0</v>
      </c>
      <c r="J97" s="33">
        <v>0</v>
      </c>
      <c r="K97" s="34"/>
      <c r="L97" s="31">
        <v>0</v>
      </c>
      <c r="M97" s="33">
        <v>0</v>
      </c>
      <c r="N97" s="34"/>
      <c r="O97" s="31">
        <v>0</v>
      </c>
      <c r="P97" s="37">
        <v>0</v>
      </c>
      <c r="Q97" s="35">
        <v>0</v>
      </c>
      <c r="R97" s="1" t="s">
        <v>0</v>
      </c>
    </row>
    <row r="98" spans="2:18" ht="13.5" x14ac:dyDescent="0.25">
      <c r="B98" s="16" t="s">
        <v>222</v>
      </c>
      <c r="C98" s="9" t="s">
        <v>188</v>
      </c>
      <c r="D98" s="9" t="s">
        <v>636</v>
      </c>
      <c r="E98" s="31">
        <v>0</v>
      </c>
      <c r="F98" s="33">
        <v>0</v>
      </c>
      <c r="G98" s="33">
        <v>0</v>
      </c>
      <c r="H98" s="34"/>
      <c r="I98" s="31">
        <v>0</v>
      </c>
      <c r="J98" s="33">
        <v>0</v>
      </c>
      <c r="K98" s="34"/>
      <c r="L98" s="31">
        <v>0</v>
      </c>
      <c r="M98" s="33">
        <v>0</v>
      </c>
      <c r="N98" s="34"/>
      <c r="O98" s="31">
        <v>0</v>
      </c>
      <c r="P98" s="37">
        <v>0</v>
      </c>
      <c r="Q98" s="35">
        <v>0</v>
      </c>
      <c r="R98" s="1" t="s">
        <v>0</v>
      </c>
    </row>
    <row r="99" spans="2:18" ht="13.5" x14ac:dyDescent="0.25">
      <c r="B99" s="16" t="s">
        <v>222</v>
      </c>
      <c r="C99" s="9" t="s">
        <v>189</v>
      </c>
      <c r="D99" s="9" t="s">
        <v>190</v>
      </c>
      <c r="E99" s="31">
        <v>0</v>
      </c>
      <c r="F99" s="33">
        <v>0</v>
      </c>
      <c r="G99" s="33">
        <v>0</v>
      </c>
      <c r="H99" s="34"/>
      <c r="I99" s="31">
        <v>0</v>
      </c>
      <c r="J99" s="33">
        <v>0</v>
      </c>
      <c r="K99" s="34"/>
      <c r="L99" s="31">
        <v>0</v>
      </c>
      <c r="M99" s="33">
        <v>0</v>
      </c>
      <c r="N99" s="34"/>
      <c r="O99" s="31">
        <v>0</v>
      </c>
      <c r="P99" s="37">
        <v>0</v>
      </c>
      <c r="Q99" s="35">
        <v>0</v>
      </c>
      <c r="R99" s="1" t="s">
        <v>0</v>
      </c>
    </row>
    <row r="100" spans="2:18" ht="13.5" x14ac:dyDescent="0.25">
      <c r="B100" s="16" t="s">
        <v>222</v>
      </c>
      <c r="C100" s="9" t="s">
        <v>191</v>
      </c>
      <c r="D100" s="9" t="s">
        <v>637</v>
      </c>
      <c r="E100" s="31">
        <v>0</v>
      </c>
      <c r="F100" s="33">
        <v>0</v>
      </c>
      <c r="G100" s="33">
        <v>0</v>
      </c>
      <c r="H100" s="34"/>
      <c r="I100" s="31">
        <v>0</v>
      </c>
      <c r="J100" s="33">
        <v>0</v>
      </c>
      <c r="K100" s="34"/>
      <c r="L100" s="31">
        <v>0</v>
      </c>
      <c r="M100" s="33">
        <v>0</v>
      </c>
      <c r="N100" s="34"/>
      <c r="O100" s="31">
        <v>0</v>
      </c>
      <c r="P100" s="37">
        <v>0</v>
      </c>
      <c r="Q100" s="35">
        <v>0</v>
      </c>
      <c r="R100" s="1" t="s">
        <v>0</v>
      </c>
    </row>
    <row r="101" spans="2:18" ht="13.5" x14ac:dyDescent="0.25">
      <c r="B101" s="16" t="s">
        <v>222</v>
      </c>
      <c r="C101" s="9" t="s">
        <v>192</v>
      </c>
      <c r="D101" s="9" t="s">
        <v>193</v>
      </c>
      <c r="E101" s="31">
        <v>0</v>
      </c>
      <c r="F101" s="33">
        <v>0</v>
      </c>
      <c r="G101" s="33">
        <v>0</v>
      </c>
      <c r="H101" s="34"/>
      <c r="I101" s="31">
        <v>0</v>
      </c>
      <c r="J101" s="33">
        <v>0</v>
      </c>
      <c r="K101" s="34"/>
      <c r="L101" s="31">
        <v>0</v>
      </c>
      <c r="M101" s="33">
        <v>0</v>
      </c>
      <c r="N101" s="34"/>
      <c r="O101" s="31">
        <v>0</v>
      </c>
      <c r="P101" s="37">
        <v>0</v>
      </c>
      <c r="Q101" s="35">
        <v>0</v>
      </c>
      <c r="R101" s="1" t="s">
        <v>0</v>
      </c>
    </row>
    <row r="102" spans="2:18" ht="13.5" x14ac:dyDescent="0.25">
      <c r="B102" s="16" t="s">
        <v>222</v>
      </c>
      <c r="C102" s="9" t="s">
        <v>78</v>
      </c>
      <c r="D102" s="9" t="s">
        <v>638</v>
      </c>
      <c r="E102" s="31">
        <v>0</v>
      </c>
      <c r="F102" s="33">
        <v>0</v>
      </c>
      <c r="G102" s="33">
        <v>0</v>
      </c>
      <c r="H102" s="34"/>
      <c r="I102" s="31">
        <v>0</v>
      </c>
      <c r="J102" s="33">
        <v>0</v>
      </c>
      <c r="K102" s="34"/>
      <c r="L102" s="31">
        <v>0</v>
      </c>
      <c r="M102" s="33">
        <v>0</v>
      </c>
      <c r="N102" s="34"/>
      <c r="O102" s="31">
        <v>0</v>
      </c>
      <c r="P102" s="37">
        <v>0</v>
      </c>
      <c r="Q102" s="35">
        <v>0</v>
      </c>
      <c r="R102" s="1" t="s">
        <v>0</v>
      </c>
    </row>
    <row r="103" spans="2:18" ht="13.5" x14ac:dyDescent="0.25">
      <c r="B103" s="16" t="s">
        <v>222</v>
      </c>
      <c r="C103" s="9" t="s">
        <v>200</v>
      </c>
      <c r="D103" s="9" t="s">
        <v>201</v>
      </c>
      <c r="E103" s="31">
        <v>0</v>
      </c>
      <c r="F103" s="33">
        <v>0</v>
      </c>
      <c r="G103" s="33">
        <v>0</v>
      </c>
      <c r="H103" s="34"/>
      <c r="I103" s="31">
        <v>0</v>
      </c>
      <c r="J103" s="33">
        <v>0</v>
      </c>
      <c r="K103" s="34"/>
      <c r="L103" s="31">
        <v>0</v>
      </c>
      <c r="M103" s="33">
        <v>0</v>
      </c>
      <c r="N103" s="34"/>
      <c r="O103" s="31">
        <v>0</v>
      </c>
      <c r="P103" s="37">
        <v>0</v>
      </c>
      <c r="Q103" s="35">
        <v>0</v>
      </c>
      <c r="R103" s="1" t="s">
        <v>0</v>
      </c>
    </row>
    <row r="104" spans="2:18" ht="13.5" x14ac:dyDescent="0.25">
      <c r="B104" s="16" t="s">
        <v>222</v>
      </c>
      <c r="C104" s="9" t="s">
        <v>79</v>
      </c>
      <c r="D104" s="9" t="s">
        <v>639</v>
      </c>
      <c r="E104" s="31">
        <v>0</v>
      </c>
      <c r="F104" s="33">
        <v>0</v>
      </c>
      <c r="G104" s="33">
        <v>0</v>
      </c>
      <c r="H104" s="34"/>
      <c r="I104" s="31">
        <v>0</v>
      </c>
      <c r="J104" s="33">
        <v>0</v>
      </c>
      <c r="K104" s="34"/>
      <c r="L104" s="31">
        <v>0</v>
      </c>
      <c r="M104" s="33">
        <v>0</v>
      </c>
      <c r="N104" s="34"/>
      <c r="O104" s="31">
        <v>0</v>
      </c>
      <c r="P104" s="37">
        <v>0</v>
      </c>
      <c r="Q104" s="35">
        <v>0</v>
      </c>
      <c r="R104" s="1" t="s">
        <v>0</v>
      </c>
    </row>
    <row r="105" spans="2:18" ht="13.5" x14ac:dyDescent="0.25">
      <c r="B105" s="16" t="s">
        <v>222</v>
      </c>
      <c r="C105" s="9" t="s">
        <v>114</v>
      </c>
      <c r="D105" s="9" t="s">
        <v>640</v>
      </c>
      <c r="E105" s="31">
        <v>0</v>
      </c>
      <c r="F105" s="33">
        <v>0</v>
      </c>
      <c r="G105" s="33">
        <v>0</v>
      </c>
      <c r="H105" s="34"/>
      <c r="I105" s="31">
        <v>0</v>
      </c>
      <c r="J105" s="33">
        <v>0</v>
      </c>
      <c r="K105" s="34"/>
      <c r="L105" s="31">
        <v>0</v>
      </c>
      <c r="M105" s="33">
        <v>0</v>
      </c>
      <c r="N105" s="34"/>
      <c r="O105" s="31">
        <v>0</v>
      </c>
      <c r="P105" s="37">
        <v>0</v>
      </c>
      <c r="Q105" s="35">
        <v>0</v>
      </c>
      <c r="R105" s="1" t="s">
        <v>0</v>
      </c>
    </row>
    <row r="106" spans="2:18" ht="13.5" x14ac:dyDescent="0.25">
      <c r="B106" s="16" t="s">
        <v>222</v>
      </c>
      <c r="C106" s="9" t="s">
        <v>80</v>
      </c>
      <c r="D106" s="9" t="s">
        <v>641</v>
      </c>
      <c r="E106" s="31">
        <v>0</v>
      </c>
      <c r="F106" s="33">
        <v>0</v>
      </c>
      <c r="G106" s="33">
        <v>0</v>
      </c>
      <c r="H106" s="34"/>
      <c r="I106" s="31">
        <v>0</v>
      </c>
      <c r="J106" s="33">
        <v>0</v>
      </c>
      <c r="K106" s="34"/>
      <c r="L106" s="31">
        <v>0</v>
      </c>
      <c r="M106" s="33">
        <v>0</v>
      </c>
      <c r="N106" s="34"/>
      <c r="O106" s="31">
        <v>0</v>
      </c>
      <c r="P106" s="37">
        <v>0</v>
      </c>
      <c r="Q106" s="35">
        <v>0</v>
      </c>
      <c r="R106" s="1" t="s">
        <v>0</v>
      </c>
    </row>
    <row r="107" spans="2:18" ht="13.5" x14ac:dyDescent="0.25">
      <c r="B107" s="16" t="s">
        <v>222</v>
      </c>
      <c r="C107" s="9" t="s">
        <v>81</v>
      </c>
      <c r="D107" s="9" t="s">
        <v>642</v>
      </c>
      <c r="E107" s="31">
        <v>0</v>
      </c>
      <c r="F107" s="33">
        <v>0</v>
      </c>
      <c r="G107" s="33">
        <v>0</v>
      </c>
      <c r="H107" s="34"/>
      <c r="I107" s="31">
        <v>0</v>
      </c>
      <c r="J107" s="33">
        <v>0</v>
      </c>
      <c r="K107" s="34"/>
      <c r="L107" s="31">
        <v>0</v>
      </c>
      <c r="M107" s="33">
        <v>0</v>
      </c>
      <c r="N107" s="34"/>
      <c r="O107" s="31">
        <v>0</v>
      </c>
      <c r="P107" s="37">
        <v>0</v>
      </c>
      <c r="Q107" s="35">
        <v>0</v>
      </c>
      <c r="R107" s="1" t="s">
        <v>0</v>
      </c>
    </row>
    <row r="108" spans="2:18" ht="13.5" x14ac:dyDescent="0.25">
      <c r="B108" s="16" t="s">
        <v>222</v>
      </c>
      <c r="C108" s="9" t="s">
        <v>202</v>
      </c>
      <c r="D108" s="9" t="s">
        <v>643</v>
      </c>
      <c r="E108" s="31">
        <v>0</v>
      </c>
      <c r="F108" s="33">
        <v>0</v>
      </c>
      <c r="G108" s="33">
        <v>0</v>
      </c>
      <c r="H108" s="34"/>
      <c r="I108" s="31">
        <v>0</v>
      </c>
      <c r="J108" s="33">
        <v>0</v>
      </c>
      <c r="K108" s="34"/>
      <c r="L108" s="31">
        <v>0</v>
      </c>
      <c r="M108" s="33">
        <v>0</v>
      </c>
      <c r="N108" s="34"/>
      <c r="O108" s="31">
        <v>0</v>
      </c>
      <c r="P108" s="37">
        <v>0</v>
      </c>
      <c r="Q108" s="35">
        <v>0</v>
      </c>
      <c r="R108" s="1" t="s">
        <v>0</v>
      </c>
    </row>
    <row r="109" spans="2:18" ht="13.5" x14ac:dyDescent="0.25">
      <c r="B109" s="16" t="s">
        <v>222</v>
      </c>
      <c r="C109" s="9" t="s">
        <v>203</v>
      </c>
      <c r="D109" s="9" t="s">
        <v>644</v>
      </c>
      <c r="E109" s="31">
        <v>0</v>
      </c>
      <c r="F109" s="33">
        <v>0</v>
      </c>
      <c r="G109" s="33">
        <v>0</v>
      </c>
      <c r="H109" s="34"/>
      <c r="I109" s="31">
        <v>0</v>
      </c>
      <c r="J109" s="33">
        <v>0</v>
      </c>
      <c r="K109" s="34"/>
      <c r="L109" s="31">
        <v>0</v>
      </c>
      <c r="M109" s="33">
        <v>0</v>
      </c>
      <c r="N109" s="34"/>
      <c r="O109" s="31">
        <v>0</v>
      </c>
      <c r="P109" s="37">
        <v>0</v>
      </c>
      <c r="Q109" s="35">
        <v>0</v>
      </c>
      <c r="R109" s="1" t="s">
        <v>0</v>
      </c>
    </row>
    <row r="110" spans="2:18" ht="13.5" x14ac:dyDescent="0.25">
      <c r="B110" s="16" t="s">
        <v>222</v>
      </c>
      <c r="C110" s="9" t="s">
        <v>212</v>
      </c>
      <c r="D110" s="9" t="s">
        <v>645</v>
      </c>
      <c r="E110" s="31">
        <v>0</v>
      </c>
      <c r="F110" s="33">
        <v>0</v>
      </c>
      <c r="G110" s="33">
        <v>0</v>
      </c>
      <c r="H110" s="34"/>
      <c r="I110" s="31">
        <v>0</v>
      </c>
      <c r="J110" s="33">
        <v>0</v>
      </c>
      <c r="K110" s="34"/>
      <c r="L110" s="31">
        <v>0</v>
      </c>
      <c r="M110" s="33">
        <v>0</v>
      </c>
      <c r="N110" s="34"/>
      <c r="O110" s="31">
        <v>0</v>
      </c>
      <c r="P110" s="37">
        <v>0</v>
      </c>
      <c r="Q110" s="35">
        <v>0</v>
      </c>
      <c r="R110" s="1" t="s">
        <v>0</v>
      </c>
    </row>
    <row r="111" spans="2:18" ht="13.5" x14ac:dyDescent="0.25">
      <c r="B111" s="16" t="s">
        <v>222</v>
      </c>
      <c r="C111" s="9" t="s">
        <v>82</v>
      </c>
      <c r="D111" s="9" t="s">
        <v>646</v>
      </c>
      <c r="E111" s="31">
        <v>0</v>
      </c>
      <c r="F111" s="33">
        <v>0</v>
      </c>
      <c r="G111" s="33">
        <v>0</v>
      </c>
      <c r="H111" s="34"/>
      <c r="I111" s="31">
        <v>0</v>
      </c>
      <c r="J111" s="33">
        <v>0</v>
      </c>
      <c r="K111" s="34"/>
      <c r="L111" s="31">
        <v>0</v>
      </c>
      <c r="M111" s="33">
        <v>0</v>
      </c>
      <c r="N111" s="34"/>
      <c r="O111" s="31">
        <v>0</v>
      </c>
      <c r="P111" s="37">
        <v>0</v>
      </c>
      <c r="Q111" s="35">
        <v>0</v>
      </c>
      <c r="R111" s="1" t="s">
        <v>0</v>
      </c>
    </row>
    <row r="112" spans="2:18" s="11" customFormat="1" ht="13.5" x14ac:dyDescent="0.25">
      <c r="B112" s="16" t="s">
        <v>222</v>
      </c>
      <c r="C112" s="9" t="s">
        <v>83</v>
      </c>
      <c r="D112" s="9" t="s">
        <v>647</v>
      </c>
      <c r="E112" s="31">
        <v>0</v>
      </c>
      <c r="F112" s="33">
        <v>0</v>
      </c>
      <c r="G112" s="33">
        <v>0</v>
      </c>
      <c r="H112" s="34"/>
      <c r="I112" s="31">
        <v>0</v>
      </c>
      <c r="J112" s="33">
        <v>0</v>
      </c>
      <c r="K112" s="36"/>
      <c r="L112" s="31">
        <v>0</v>
      </c>
      <c r="M112" s="33">
        <v>0</v>
      </c>
      <c r="N112" s="34"/>
      <c r="O112" s="31">
        <v>0</v>
      </c>
      <c r="P112" s="37">
        <v>0</v>
      </c>
      <c r="Q112" s="35">
        <v>0</v>
      </c>
      <c r="R112" s="1" t="s">
        <v>0</v>
      </c>
    </row>
    <row r="113" spans="2:18" s="11" customFormat="1" ht="13.5" x14ac:dyDescent="0.25">
      <c r="B113" s="16" t="s">
        <v>222</v>
      </c>
      <c r="C113" s="9" t="s">
        <v>84</v>
      </c>
      <c r="D113" s="9" t="s">
        <v>648</v>
      </c>
      <c r="E113" s="31">
        <v>0</v>
      </c>
      <c r="F113" s="33">
        <v>0</v>
      </c>
      <c r="G113" s="33">
        <v>0</v>
      </c>
      <c r="H113" s="34"/>
      <c r="I113" s="31">
        <v>0</v>
      </c>
      <c r="J113" s="33">
        <v>0</v>
      </c>
      <c r="K113" s="36"/>
      <c r="L113" s="31">
        <v>0</v>
      </c>
      <c r="M113" s="33">
        <v>0</v>
      </c>
      <c r="N113" s="34"/>
      <c r="O113" s="31">
        <v>0</v>
      </c>
      <c r="P113" s="37">
        <v>0</v>
      </c>
      <c r="Q113" s="35">
        <v>0</v>
      </c>
      <c r="R113" s="1" t="s">
        <v>0</v>
      </c>
    </row>
    <row r="114" spans="2:18" ht="13.5" x14ac:dyDescent="0.25">
      <c r="B114" s="16" t="s">
        <v>222</v>
      </c>
      <c r="C114" s="9" t="s">
        <v>213</v>
      </c>
      <c r="D114" s="9" t="s">
        <v>649</v>
      </c>
      <c r="E114" s="31">
        <v>0</v>
      </c>
      <c r="F114" s="33">
        <v>0</v>
      </c>
      <c r="G114" s="33">
        <v>0</v>
      </c>
      <c r="H114" s="34"/>
      <c r="I114" s="31">
        <v>0</v>
      </c>
      <c r="J114" s="33">
        <v>0</v>
      </c>
      <c r="K114" s="34"/>
      <c r="L114" s="31">
        <v>0</v>
      </c>
      <c r="M114" s="33">
        <v>0</v>
      </c>
      <c r="N114" s="34"/>
      <c r="O114" s="31">
        <v>0</v>
      </c>
      <c r="P114" s="37">
        <v>0</v>
      </c>
      <c r="Q114" s="35">
        <v>0</v>
      </c>
      <c r="R114" s="1" t="s">
        <v>0</v>
      </c>
    </row>
    <row r="115" spans="2:18" ht="13.5" x14ac:dyDescent="0.25">
      <c r="B115" s="16" t="s">
        <v>222</v>
      </c>
      <c r="C115" s="9" t="s">
        <v>56</v>
      </c>
      <c r="D115" s="9" t="s">
        <v>650</v>
      </c>
      <c r="E115" s="31">
        <v>0</v>
      </c>
      <c r="F115" s="33">
        <v>0</v>
      </c>
      <c r="G115" s="33">
        <v>0</v>
      </c>
      <c r="H115" s="34"/>
      <c r="I115" s="31">
        <v>0</v>
      </c>
      <c r="J115" s="33">
        <v>0</v>
      </c>
      <c r="K115" s="34"/>
      <c r="L115" s="31">
        <v>0</v>
      </c>
      <c r="M115" s="33">
        <v>0</v>
      </c>
      <c r="N115" s="34"/>
      <c r="O115" s="31">
        <v>0</v>
      </c>
      <c r="P115" s="37">
        <v>0</v>
      </c>
      <c r="Q115" s="35">
        <v>0</v>
      </c>
      <c r="R115" s="1" t="s">
        <v>0</v>
      </c>
    </row>
    <row r="116" spans="2:18" ht="13.5" x14ac:dyDescent="0.25">
      <c r="B116" s="16" t="s">
        <v>222</v>
      </c>
      <c r="C116" s="9" t="s">
        <v>85</v>
      </c>
      <c r="D116" s="9" t="s">
        <v>651</v>
      </c>
      <c r="E116" s="31">
        <v>0</v>
      </c>
      <c r="F116" s="33">
        <v>0</v>
      </c>
      <c r="G116" s="33">
        <v>0</v>
      </c>
      <c r="H116" s="34"/>
      <c r="I116" s="31">
        <v>0</v>
      </c>
      <c r="J116" s="33">
        <v>0</v>
      </c>
      <c r="K116" s="34"/>
      <c r="L116" s="31">
        <v>0</v>
      </c>
      <c r="M116" s="33">
        <v>0</v>
      </c>
      <c r="N116" s="34"/>
      <c r="O116" s="31">
        <v>0</v>
      </c>
      <c r="P116" s="37">
        <v>0</v>
      </c>
      <c r="Q116" s="35">
        <v>0</v>
      </c>
      <c r="R116" s="1" t="s">
        <v>0</v>
      </c>
    </row>
    <row r="117" spans="2:18" ht="13.5" x14ac:dyDescent="0.25">
      <c r="B117" s="16" t="s">
        <v>222</v>
      </c>
      <c r="C117" s="9" t="s">
        <v>209</v>
      </c>
      <c r="D117" s="9" t="s">
        <v>652</v>
      </c>
      <c r="E117" s="31">
        <v>0</v>
      </c>
      <c r="F117" s="33">
        <v>0</v>
      </c>
      <c r="G117" s="33">
        <v>0</v>
      </c>
      <c r="H117" s="34"/>
      <c r="I117" s="31">
        <v>0</v>
      </c>
      <c r="J117" s="33">
        <v>0</v>
      </c>
      <c r="K117" s="34"/>
      <c r="L117" s="31">
        <v>0</v>
      </c>
      <c r="M117" s="33">
        <v>0</v>
      </c>
      <c r="N117" s="34"/>
      <c r="O117" s="31">
        <v>0</v>
      </c>
      <c r="P117" s="37">
        <v>0</v>
      </c>
      <c r="Q117" s="35">
        <v>0</v>
      </c>
      <c r="R117" s="1" t="s">
        <v>0</v>
      </c>
    </row>
    <row r="118" spans="2:18" ht="13.5" x14ac:dyDescent="0.25">
      <c r="B118" s="16" t="s">
        <v>222</v>
      </c>
      <c r="C118" s="9" t="s">
        <v>86</v>
      </c>
      <c r="D118" s="9" t="s">
        <v>653</v>
      </c>
      <c r="E118" s="31">
        <v>0</v>
      </c>
      <c r="F118" s="33">
        <v>0</v>
      </c>
      <c r="G118" s="33">
        <v>0</v>
      </c>
      <c r="H118" s="34"/>
      <c r="I118" s="31">
        <v>0</v>
      </c>
      <c r="J118" s="33">
        <v>0</v>
      </c>
      <c r="K118" s="34"/>
      <c r="L118" s="31">
        <v>0</v>
      </c>
      <c r="M118" s="33">
        <v>0</v>
      </c>
      <c r="N118" s="34"/>
      <c r="O118" s="31">
        <v>0</v>
      </c>
      <c r="P118" s="37">
        <v>0</v>
      </c>
      <c r="Q118" s="35">
        <v>0</v>
      </c>
      <c r="R118" s="1" t="s">
        <v>0</v>
      </c>
    </row>
    <row r="119" spans="2:18" ht="13.5" x14ac:dyDescent="0.25">
      <c r="B119" s="16" t="s">
        <v>222</v>
      </c>
      <c r="C119" s="9" t="s">
        <v>87</v>
      </c>
      <c r="D119" s="9" t="s">
        <v>654</v>
      </c>
      <c r="E119" s="31">
        <v>0</v>
      </c>
      <c r="F119" s="33">
        <v>0</v>
      </c>
      <c r="G119" s="33">
        <v>0</v>
      </c>
      <c r="H119" s="34"/>
      <c r="I119" s="31">
        <v>0</v>
      </c>
      <c r="J119" s="33">
        <v>0</v>
      </c>
      <c r="K119" s="34"/>
      <c r="L119" s="31">
        <v>0</v>
      </c>
      <c r="M119" s="33">
        <v>0</v>
      </c>
      <c r="N119" s="34"/>
      <c r="O119" s="31">
        <v>0</v>
      </c>
      <c r="P119" s="37">
        <v>0</v>
      </c>
      <c r="Q119" s="35">
        <v>0</v>
      </c>
      <c r="R119" s="1" t="s">
        <v>0</v>
      </c>
    </row>
    <row r="120" spans="2:18" ht="13.5" x14ac:dyDescent="0.25">
      <c r="B120" s="16" t="s">
        <v>222</v>
      </c>
      <c r="C120" s="9" t="s">
        <v>88</v>
      </c>
      <c r="D120" s="9" t="s">
        <v>655</v>
      </c>
      <c r="E120" s="31">
        <v>0</v>
      </c>
      <c r="F120" s="33">
        <v>0</v>
      </c>
      <c r="G120" s="33">
        <v>0</v>
      </c>
      <c r="H120" s="34"/>
      <c r="I120" s="31">
        <v>0</v>
      </c>
      <c r="J120" s="33">
        <v>0</v>
      </c>
      <c r="K120" s="34"/>
      <c r="L120" s="31">
        <v>0</v>
      </c>
      <c r="M120" s="33">
        <v>0</v>
      </c>
      <c r="N120" s="34"/>
      <c r="O120" s="31">
        <v>0</v>
      </c>
      <c r="P120" s="37">
        <v>0</v>
      </c>
      <c r="Q120" s="35">
        <v>0</v>
      </c>
      <c r="R120" s="1" t="s">
        <v>0</v>
      </c>
    </row>
    <row r="121" spans="2:18" ht="13.5" x14ac:dyDescent="0.25">
      <c r="B121" s="16" t="s">
        <v>222</v>
      </c>
      <c r="C121" s="9" t="s">
        <v>89</v>
      </c>
      <c r="D121" s="9" t="s">
        <v>656</v>
      </c>
      <c r="E121" s="31">
        <v>0</v>
      </c>
      <c r="F121" s="33">
        <v>0</v>
      </c>
      <c r="G121" s="33">
        <v>0</v>
      </c>
      <c r="H121" s="34"/>
      <c r="I121" s="31">
        <v>0</v>
      </c>
      <c r="J121" s="33">
        <v>0</v>
      </c>
      <c r="K121" s="34"/>
      <c r="L121" s="31">
        <v>0</v>
      </c>
      <c r="M121" s="33">
        <v>0</v>
      </c>
      <c r="N121" s="34"/>
      <c r="O121" s="31">
        <v>0</v>
      </c>
      <c r="P121" s="37">
        <v>0</v>
      </c>
      <c r="Q121" s="35">
        <v>0</v>
      </c>
      <c r="R121" s="1" t="s">
        <v>0</v>
      </c>
    </row>
    <row r="122" spans="2:18" ht="13.5" x14ac:dyDescent="0.25">
      <c r="B122" s="16" t="s">
        <v>222</v>
      </c>
      <c r="C122" s="9" t="s">
        <v>90</v>
      </c>
      <c r="D122" s="9" t="s">
        <v>657</v>
      </c>
      <c r="E122" s="31">
        <v>0</v>
      </c>
      <c r="F122" s="33">
        <v>177.72857142857143</v>
      </c>
      <c r="G122" s="33">
        <v>0</v>
      </c>
      <c r="H122" s="34"/>
      <c r="I122" s="31">
        <v>3</v>
      </c>
      <c r="J122" s="33">
        <v>829.92</v>
      </c>
      <c r="K122" s="34"/>
      <c r="L122" s="31">
        <v>-3</v>
      </c>
      <c r="M122" s="33">
        <v>-829.92</v>
      </c>
      <c r="N122" s="34"/>
      <c r="O122" s="31">
        <v>0</v>
      </c>
      <c r="P122" s="37">
        <v>177.72857142857143</v>
      </c>
      <c r="Q122" s="35">
        <v>0</v>
      </c>
      <c r="R122" s="1" t="s">
        <v>0</v>
      </c>
    </row>
    <row r="123" spans="2:18" ht="13.5" x14ac:dyDescent="0.25">
      <c r="B123" s="16" t="s">
        <v>222</v>
      </c>
      <c r="C123" s="9" t="s">
        <v>91</v>
      </c>
      <c r="D123" s="9" t="s">
        <v>658</v>
      </c>
      <c r="E123" s="31">
        <v>0</v>
      </c>
      <c r="F123" s="33">
        <v>0</v>
      </c>
      <c r="G123" s="33">
        <v>0</v>
      </c>
      <c r="H123" s="34"/>
      <c r="I123" s="31">
        <v>0</v>
      </c>
      <c r="J123" s="33">
        <v>0</v>
      </c>
      <c r="K123" s="34"/>
      <c r="L123" s="31">
        <v>0</v>
      </c>
      <c r="M123" s="33">
        <v>0</v>
      </c>
      <c r="N123" s="34"/>
      <c r="O123" s="31">
        <v>0</v>
      </c>
      <c r="P123" s="37">
        <v>0</v>
      </c>
      <c r="Q123" s="35">
        <v>0</v>
      </c>
      <c r="R123" s="1" t="s">
        <v>0</v>
      </c>
    </row>
    <row r="124" spans="2:18" ht="13.5" x14ac:dyDescent="0.25">
      <c r="B124" s="16" t="s">
        <v>222</v>
      </c>
      <c r="C124" s="9" t="s">
        <v>217</v>
      </c>
      <c r="D124" s="9" t="s">
        <v>218</v>
      </c>
      <c r="E124" s="31">
        <v>0</v>
      </c>
      <c r="F124" s="33">
        <v>0</v>
      </c>
      <c r="G124" s="33">
        <v>0</v>
      </c>
      <c r="H124" s="34"/>
      <c r="I124" s="31">
        <v>0</v>
      </c>
      <c r="J124" s="33">
        <v>0</v>
      </c>
      <c r="K124" s="34"/>
      <c r="L124" s="31">
        <v>0</v>
      </c>
      <c r="M124" s="33">
        <v>0</v>
      </c>
      <c r="N124" s="34"/>
      <c r="O124" s="31">
        <v>0</v>
      </c>
      <c r="P124" s="37">
        <v>0</v>
      </c>
      <c r="Q124" s="35">
        <v>0</v>
      </c>
      <c r="R124" s="1" t="s">
        <v>0</v>
      </c>
    </row>
    <row r="125" spans="2:18" ht="13.5" x14ac:dyDescent="0.25">
      <c r="B125" s="16" t="s">
        <v>222</v>
      </c>
      <c r="C125" s="9" t="s">
        <v>92</v>
      </c>
      <c r="D125" s="9" t="s">
        <v>659</v>
      </c>
      <c r="E125" s="31">
        <v>0</v>
      </c>
      <c r="F125" s="33">
        <v>0</v>
      </c>
      <c r="G125" s="33">
        <v>0</v>
      </c>
      <c r="H125" s="34"/>
      <c r="I125" s="31">
        <v>0</v>
      </c>
      <c r="J125" s="33">
        <v>0</v>
      </c>
      <c r="K125" s="34"/>
      <c r="L125" s="31">
        <v>0</v>
      </c>
      <c r="M125" s="33">
        <v>0</v>
      </c>
      <c r="N125" s="34"/>
      <c r="O125" s="31">
        <v>0</v>
      </c>
      <c r="P125" s="37">
        <v>0</v>
      </c>
      <c r="Q125" s="35">
        <v>0</v>
      </c>
      <c r="R125" s="1" t="s">
        <v>0</v>
      </c>
    </row>
    <row r="126" spans="2:18" ht="13.5" x14ac:dyDescent="0.25">
      <c r="B126" s="16" t="s">
        <v>222</v>
      </c>
      <c r="C126" s="9" t="s">
        <v>93</v>
      </c>
      <c r="D126" s="9" t="s">
        <v>660</v>
      </c>
      <c r="E126" s="31">
        <v>0</v>
      </c>
      <c r="F126" s="33">
        <v>0</v>
      </c>
      <c r="G126" s="33">
        <v>0</v>
      </c>
      <c r="H126" s="34"/>
      <c r="I126" s="31">
        <v>0</v>
      </c>
      <c r="J126" s="33">
        <v>0</v>
      </c>
      <c r="K126" s="34"/>
      <c r="L126" s="31">
        <v>0</v>
      </c>
      <c r="M126" s="33">
        <v>0</v>
      </c>
      <c r="N126" s="34"/>
      <c r="O126" s="31">
        <v>0</v>
      </c>
      <c r="P126" s="37">
        <v>0</v>
      </c>
      <c r="Q126" s="35">
        <v>0</v>
      </c>
      <c r="R126" s="1" t="s">
        <v>0</v>
      </c>
    </row>
    <row r="127" spans="2:18" ht="13.5" x14ac:dyDescent="0.25">
      <c r="B127" s="16" t="s">
        <v>222</v>
      </c>
      <c r="C127" s="9" t="s">
        <v>94</v>
      </c>
      <c r="D127" s="9" t="s">
        <v>661</v>
      </c>
      <c r="E127" s="31">
        <v>0</v>
      </c>
      <c r="F127" s="33">
        <v>0</v>
      </c>
      <c r="G127" s="33">
        <v>0</v>
      </c>
      <c r="H127" s="34"/>
      <c r="I127" s="31">
        <v>0</v>
      </c>
      <c r="J127" s="33">
        <v>0</v>
      </c>
      <c r="K127" s="34"/>
      <c r="L127" s="31">
        <v>0</v>
      </c>
      <c r="M127" s="33">
        <v>0</v>
      </c>
      <c r="N127" s="34"/>
      <c r="O127" s="31">
        <v>0</v>
      </c>
      <c r="P127" s="37">
        <v>0</v>
      </c>
      <c r="Q127" s="35">
        <v>0</v>
      </c>
      <c r="R127" s="1" t="s">
        <v>0</v>
      </c>
    </row>
    <row r="128" spans="2:18" ht="13.5" x14ac:dyDescent="0.25">
      <c r="B128" s="16" t="s">
        <v>222</v>
      </c>
      <c r="C128" s="9" t="s">
        <v>95</v>
      </c>
      <c r="D128" s="9" t="s">
        <v>662</v>
      </c>
      <c r="E128" s="31">
        <v>0</v>
      </c>
      <c r="F128" s="33">
        <v>0</v>
      </c>
      <c r="G128" s="33">
        <v>0</v>
      </c>
      <c r="H128" s="34"/>
      <c r="I128" s="31">
        <v>0</v>
      </c>
      <c r="J128" s="33">
        <v>0</v>
      </c>
      <c r="K128" s="34"/>
      <c r="L128" s="31">
        <v>0</v>
      </c>
      <c r="M128" s="33">
        <v>0</v>
      </c>
      <c r="N128" s="34"/>
      <c r="O128" s="31">
        <v>0</v>
      </c>
      <c r="P128" s="37">
        <v>0</v>
      </c>
      <c r="Q128" s="35">
        <v>0</v>
      </c>
      <c r="R128" s="1" t="s">
        <v>0</v>
      </c>
    </row>
    <row r="129" spans="2:18" ht="13.5" x14ac:dyDescent="0.25">
      <c r="B129" s="16" t="s">
        <v>222</v>
      </c>
      <c r="C129" s="9" t="s">
        <v>96</v>
      </c>
      <c r="D129" s="9" t="s">
        <v>663</v>
      </c>
      <c r="E129" s="31">
        <v>0</v>
      </c>
      <c r="F129" s="33">
        <v>0</v>
      </c>
      <c r="G129" s="33">
        <v>0</v>
      </c>
      <c r="H129" s="34"/>
      <c r="I129" s="31">
        <v>0</v>
      </c>
      <c r="J129" s="33">
        <v>0</v>
      </c>
      <c r="K129" s="34"/>
      <c r="L129" s="31">
        <v>0</v>
      </c>
      <c r="M129" s="33">
        <v>0</v>
      </c>
      <c r="N129" s="34"/>
      <c r="O129" s="31">
        <v>0</v>
      </c>
      <c r="P129" s="37">
        <v>0</v>
      </c>
      <c r="Q129" s="35">
        <v>0</v>
      </c>
      <c r="R129" s="1" t="s">
        <v>0</v>
      </c>
    </row>
    <row r="130" spans="2:18" ht="13.5" x14ac:dyDescent="0.25">
      <c r="B130" s="16" t="s">
        <v>222</v>
      </c>
      <c r="C130" s="9" t="s">
        <v>97</v>
      </c>
      <c r="D130" s="9" t="s">
        <v>664</v>
      </c>
      <c r="E130" s="31">
        <v>0</v>
      </c>
      <c r="F130" s="33">
        <v>0</v>
      </c>
      <c r="G130" s="33">
        <v>0</v>
      </c>
      <c r="H130" s="34"/>
      <c r="I130" s="31">
        <v>0</v>
      </c>
      <c r="J130" s="33">
        <v>0</v>
      </c>
      <c r="K130" s="34"/>
      <c r="L130" s="31">
        <v>0</v>
      </c>
      <c r="M130" s="33">
        <v>0</v>
      </c>
      <c r="N130" s="34"/>
      <c r="O130" s="31">
        <v>0</v>
      </c>
      <c r="P130" s="37">
        <v>0</v>
      </c>
      <c r="Q130" s="35">
        <v>0</v>
      </c>
      <c r="R130" s="1" t="s">
        <v>0</v>
      </c>
    </row>
    <row r="131" spans="2:18" ht="13.5" x14ac:dyDescent="0.25">
      <c r="B131" s="16" t="s">
        <v>222</v>
      </c>
      <c r="C131" s="9" t="s">
        <v>98</v>
      </c>
      <c r="D131" s="9" t="s">
        <v>665</v>
      </c>
      <c r="E131" s="31">
        <v>0</v>
      </c>
      <c r="F131" s="33">
        <v>0</v>
      </c>
      <c r="G131" s="33">
        <v>0</v>
      </c>
      <c r="H131" s="34"/>
      <c r="I131" s="31">
        <v>0</v>
      </c>
      <c r="J131" s="33">
        <v>0</v>
      </c>
      <c r="K131" s="34"/>
      <c r="L131" s="31">
        <v>0</v>
      </c>
      <c r="M131" s="33">
        <v>0</v>
      </c>
      <c r="N131" s="34"/>
      <c r="O131" s="31">
        <v>0</v>
      </c>
      <c r="P131" s="37">
        <v>0</v>
      </c>
      <c r="Q131" s="35">
        <v>0</v>
      </c>
      <c r="R131" s="1" t="s">
        <v>0</v>
      </c>
    </row>
    <row r="132" spans="2:18" ht="13.5" x14ac:dyDescent="0.25">
      <c r="B132" s="16" t="s">
        <v>222</v>
      </c>
      <c r="C132" s="9" t="s">
        <v>57</v>
      </c>
      <c r="D132" s="9" t="s">
        <v>666</v>
      </c>
      <c r="E132" s="31">
        <v>0</v>
      </c>
      <c r="F132" s="33">
        <v>0</v>
      </c>
      <c r="G132" s="33">
        <v>0</v>
      </c>
      <c r="H132" s="34"/>
      <c r="I132" s="31">
        <v>0</v>
      </c>
      <c r="J132" s="33">
        <v>0</v>
      </c>
      <c r="K132" s="34"/>
      <c r="L132" s="31">
        <v>0</v>
      </c>
      <c r="M132" s="33">
        <v>0</v>
      </c>
      <c r="N132" s="34"/>
      <c r="O132" s="31">
        <v>0</v>
      </c>
      <c r="P132" s="37">
        <v>0</v>
      </c>
      <c r="Q132" s="35">
        <v>0</v>
      </c>
      <c r="R132" s="1" t="s">
        <v>0</v>
      </c>
    </row>
    <row r="133" spans="2:18" ht="13.5" x14ac:dyDescent="0.25">
      <c r="B133" s="16" t="s">
        <v>222</v>
      </c>
      <c r="C133" s="9" t="s">
        <v>99</v>
      </c>
      <c r="D133" s="9" t="s">
        <v>667</v>
      </c>
      <c r="E133" s="31">
        <v>0</v>
      </c>
      <c r="F133" s="33">
        <v>0</v>
      </c>
      <c r="G133" s="33">
        <v>0</v>
      </c>
      <c r="H133" s="34"/>
      <c r="I133" s="31">
        <v>0</v>
      </c>
      <c r="J133" s="33">
        <v>0</v>
      </c>
      <c r="K133" s="34"/>
      <c r="L133" s="31">
        <v>0</v>
      </c>
      <c r="M133" s="33">
        <v>0</v>
      </c>
      <c r="N133" s="34"/>
      <c r="O133" s="31">
        <v>0</v>
      </c>
      <c r="P133" s="37">
        <v>0</v>
      </c>
      <c r="Q133" s="35">
        <v>0</v>
      </c>
      <c r="R133" s="1" t="s">
        <v>0</v>
      </c>
    </row>
    <row r="134" spans="2:18" ht="13.5" x14ac:dyDescent="0.25">
      <c r="B134" s="16" t="s">
        <v>222</v>
      </c>
      <c r="C134" s="9" t="s">
        <v>100</v>
      </c>
      <c r="D134" s="9" t="s">
        <v>668</v>
      </c>
      <c r="E134" s="31">
        <v>0</v>
      </c>
      <c r="F134" s="33">
        <v>0</v>
      </c>
      <c r="G134" s="33">
        <v>0</v>
      </c>
      <c r="H134" s="34"/>
      <c r="I134" s="31">
        <v>0</v>
      </c>
      <c r="J134" s="33">
        <v>0</v>
      </c>
      <c r="K134" s="34"/>
      <c r="L134" s="31">
        <v>0</v>
      </c>
      <c r="M134" s="33">
        <v>0</v>
      </c>
      <c r="N134" s="34"/>
      <c r="O134" s="31">
        <v>0</v>
      </c>
      <c r="P134" s="37">
        <v>0</v>
      </c>
      <c r="Q134" s="35">
        <v>0</v>
      </c>
      <c r="R134" s="1" t="s">
        <v>0</v>
      </c>
    </row>
    <row r="135" spans="2:18" ht="13.5" x14ac:dyDescent="0.25">
      <c r="B135" s="16" t="s">
        <v>222</v>
      </c>
      <c r="C135" s="9" t="s">
        <v>101</v>
      </c>
      <c r="D135" s="9" t="s">
        <v>669</v>
      </c>
      <c r="E135" s="31">
        <v>0</v>
      </c>
      <c r="F135" s="33">
        <v>0</v>
      </c>
      <c r="G135" s="33">
        <v>0</v>
      </c>
      <c r="H135" s="34"/>
      <c r="I135" s="31">
        <v>0</v>
      </c>
      <c r="J135" s="33">
        <v>0</v>
      </c>
      <c r="K135" s="34"/>
      <c r="L135" s="31">
        <v>0</v>
      </c>
      <c r="M135" s="33">
        <v>0</v>
      </c>
      <c r="N135" s="34"/>
      <c r="O135" s="31">
        <v>0</v>
      </c>
      <c r="P135" s="37">
        <v>0</v>
      </c>
      <c r="Q135" s="35">
        <v>0</v>
      </c>
      <c r="R135" s="1" t="s">
        <v>0</v>
      </c>
    </row>
    <row r="136" spans="2:18" ht="13.5" x14ac:dyDescent="0.25">
      <c r="B136" s="16" t="s">
        <v>222</v>
      </c>
      <c r="C136" s="9" t="s">
        <v>102</v>
      </c>
      <c r="D136" s="9" t="s">
        <v>670</v>
      </c>
      <c r="E136" s="31">
        <v>0</v>
      </c>
      <c r="F136" s="33">
        <v>0</v>
      </c>
      <c r="G136" s="33">
        <v>0</v>
      </c>
      <c r="H136" s="34"/>
      <c r="I136" s="31">
        <v>2</v>
      </c>
      <c r="J136" s="33">
        <v>2046.3749636956229</v>
      </c>
      <c r="K136" s="34"/>
      <c r="L136" s="31">
        <v>-2</v>
      </c>
      <c r="M136" s="33">
        <v>-2046.3749636956229</v>
      </c>
      <c r="N136" s="34"/>
      <c r="O136" s="31">
        <v>0</v>
      </c>
      <c r="P136" s="37">
        <v>0</v>
      </c>
      <c r="Q136" s="35">
        <v>0</v>
      </c>
      <c r="R136" s="1" t="s">
        <v>0</v>
      </c>
    </row>
    <row r="137" spans="2:18" ht="13.5" x14ac:dyDescent="0.25">
      <c r="B137" s="16" t="s">
        <v>223</v>
      </c>
      <c r="C137" s="9" t="s">
        <v>103</v>
      </c>
      <c r="D137" s="9" t="s">
        <v>671</v>
      </c>
      <c r="E137" s="31">
        <v>4</v>
      </c>
      <c r="F137" s="33">
        <v>99.825000000000017</v>
      </c>
      <c r="G137" s="33">
        <v>399.30000000000007</v>
      </c>
      <c r="H137" s="34"/>
      <c r="I137" s="31">
        <v>4</v>
      </c>
      <c r="J137" s="33">
        <v>660</v>
      </c>
      <c r="K137" s="34"/>
      <c r="L137" s="31">
        <v>-2</v>
      </c>
      <c r="M137" s="33">
        <v>-264.82500000000005</v>
      </c>
      <c r="N137" s="34"/>
      <c r="O137" s="31">
        <v>6</v>
      </c>
      <c r="P137" s="37">
        <v>132.41250000000002</v>
      </c>
      <c r="Q137" s="35">
        <v>794.47500000000014</v>
      </c>
      <c r="R137" s="1" t="s">
        <v>0</v>
      </c>
    </row>
    <row r="138" spans="2:18" ht="13.5" x14ac:dyDescent="0.25">
      <c r="B138" s="16" t="s">
        <v>223</v>
      </c>
      <c r="C138" s="9" t="s">
        <v>465</v>
      </c>
      <c r="D138" s="9" t="s">
        <v>466</v>
      </c>
      <c r="E138" s="31">
        <v>0</v>
      </c>
      <c r="F138" s="33">
        <v>0</v>
      </c>
      <c r="G138" s="33">
        <v>0</v>
      </c>
      <c r="H138" s="34"/>
      <c r="I138" s="31">
        <v>0</v>
      </c>
      <c r="J138" s="33">
        <v>0</v>
      </c>
      <c r="K138" s="34"/>
      <c r="L138" s="31">
        <v>0</v>
      </c>
      <c r="M138" s="33">
        <v>0</v>
      </c>
      <c r="N138" s="34"/>
      <c r="O138" s="31">
        <v>0</v>
      </c>
      <c r="P138" s="37">
        <v>0</v>
      </c>
      <c r="Q138" s="35">
        <v>0</v>
      </c>
      <c r="R138" s="1" t="s">
        <v>0</v>
      </c>
    </row>
    <row r="139" spans="2:18" ht="13.5" x14ac:dyDescent="0.25">
      <c r="B139" s="16" t="s">
        <v>223</v>
      </c>
      <c r="C139" s="9" t="s">
        <v>170</v>
      </c>
      <c r="D139" s="9" t="s">
        <v>672</v>
      </c>
      <c r="E139" s="31">
        <v>114</v>
      </c>
      <c r="F139" s="33">
        <v>258.5242914008561</v>
      </c>
      <c r="G139" s="33">
        <v>29471.769219697595</v>
      </c>
      <c r="H139" s="34"/>
      <c r="I139" s="31">
        <v>60</v>
      </c>
      <c r="J139" s="33">
        <v>18219.5</v>
      </c>
      <c r="K139" s="34"/>
      <c r="L139" s="31">
        <v>-27</v>
      </c>
      <c r="M139" s="33">
        <v>-7400.3693616772134</v>
      </c>
      <c r="N139" s="34"/>
      <c r="O139" s="31">
        <v>147</v>
      </c>
      <c r="P139" s="37">
        <v>274.0877541361931</v>
      </c>
      <c r="Q139" s="35">
        <v>40290.899858020384</v>
      </c>
      <c r="R139" s="1" t="s">
        <v>0</v>
      </c>
    </row>
    <row r="140" spans="2:18" ht="13.5" x14ac:dyDescent="0.25">
      <c r="B140" s="16" t="s">
        <v>223</v>
      </c>
      <c r="C140" s="9" t="s">
        <v>104</v>
      </c>
      <c r="D140" s="9" t="s">
        <v>673</v>
      </c>
      <c r="E140" s="31">
        <v>19.119999999999997</v>
      </c>
      <c r="F140" s="33">
        <v>110.1520417995747</v>
      </c>
      <c r="G140" s="33">
        <v>2106.1070392078682</v>
      </c>
      <c r="H140" s="34"/>
      <c r="I140" s="31">
        <v>0</v>
      </c>
      <c r="J140" s="33">
        <v>0</v>
      </c>
      <c r="K140" s="34"/>
      <c r="L140" s="31">
        <v>-15.119999999999997</v>
      </c>
      <c r="M140" s="33">
        <v>-1665.4988720095691</v>
      </c>
      <c r="N140" s="34"/>
      <c r="O140" s="31">
        <v>4</v>
      </c>
      <c r="P140" s="37">
        <v>110.15204179957476</v>
      </c>
      <c r="Q140" s="35">
        <v>440.60816719829904</v>
      </c>
      <c r="R140" s="1" t="s">
        <v>0</v>
      </c>
    </row>
    <row r="141" spans="2:18" ht="13.5" x14ac:dyDescent="0.25">
      <c r="B141" s="16" t="s">
        <v>223</v>
      </c>
      <c r="C141" s="9" t="s">
        <v>204</v>
      </c>
      <c r="D141" s="9" t="s">
        <v>674</v>
      </c>
      <c r="E141" s="31">
        <v>1</v>
      </c>
      <c r="F141" s="33">
        <v>2088.9651999999996</v>
      </c>
      <c r="G141" s="33">
        <v>2088.9651999999996</v>
      </c>
      <c r="H141" s="34"/>
      <c r="I141" s="31">
        <v>0</v>
      </c>
      <c r="J141" s="33">
        <v>0</v>
      </c>
      <c r="K141" s="34"/>
      <c r="L141" s="31">
        <v>0</v>
      </c>
      <c r="M141" s="33">
        <v>0</v>
      </c>
      <c r="N141" s="34"/>
      <c r="O141" s="31">
        <v>1</v>
      </c>
      <c r="P141" s="37">
        <v>2088.9651999999996</v>
      </c>
      <c r="Q141" s="35">
        <v>2088.9651999999996</v>
      </c>
      <c r="R141" s="1" t="s">
        <v>0</v>
      </c>
    </row>
    <row r="142" spans="2:18" ht="13.5" x14ac:dyDescent="0.25">
      <c r="B142" s="16" t="s">
        <v>223</v>
      </c>
      <c r="C142" s="9" t="s">
        <v>406</v>
      </c>
      <c r="D142" s="9" t="s">
        <v>408</v>
      </c>
      <c r="E142" s="31">
        <v>0</v>
      </c>
      <c r="F142" s="33">
        <v>59.45215000000001</v>
      </c>
      <c r="G142" s="33">
        <v>0</v>
      </c>
      <c r="H142" s="34"/>
      <c r="I142" s="31">
        <v>0</v>
      </c>
      <c r="J142" s="33">
        <v>0</v>
      </c>
      <c r="K142" s="34"/>
      <c r="L142" s="31">
        <v>0</v>
      </c>
      <c r="M142" s="33">
        <v>0</v>
      </c>
      <c r="N142" s="34"/>
      <c r="O142" s="31">
        <v>0</v>
      </c>
      <c r="P142" s="37">
        <v>59.45215000000001</v>
      </c>
      <c r="Q142" s="35">
        <v>0</v>
      </c>
      <c r="R142" s="1" t="s">
        <v>521</v>
      </c>
    </row>
    <row r="143" spans="2:18" ht="13.5" x14ac:dyDescent="0.25">
      <c r="B143" s="16" t="s">
        <v>223</v>
      </c>
      <c r="C143" s="9" t="s">
        <v>562</v>
      </c>
      <c r="D143" s="9" t="s">
        <v>675</v>
      </c>
      <c r="E143" s="31">
        <v>42</v>
      </c>
      <c r="F143" s="33">
        <v>0</v>
      </c>
      <c r="G143" s="33">
        <v>0</v>
      </c>
      <c r="H143" s="34"/>
      <c r="I143" s="31">
        <v>0</v>
      </c>
      <c r="J143" s="33">
        <v>0</v>
      </c>
      <c r="K143" s="34"/>
      <c r="L143" s="31">
        <v>-10.866</v>
      </c>
      <c r="M143" s="33">
        <v>0</v>
      </c>
      <c r="N143" s="34"/>
      <c r="O143" s="31">
        <v>31.134</v>
      </c>
      <c r="P143" s="37">
        <v>0</v>
      </c>
      <c r="Q143" s="35">
        <v>0</v>
      </c>
      <c r="R143" s="1" t="s">
        <v>0</v>
      </c>
    </row>
    <row r="144" spans="2:18" ht="13.5" x14ac:dyDescent="0.25">
      <c r="B144" s="16" t="s">
        <v>223</v>
      </c>
      <c r="C144" s="9" t="s">
        <v>580</v>
      </c>
      <c r="D144" s="9" t="s">
        <v>581</v>
      </c>
      <c r="E144" s="31">
        <v>0</v>
      </c>
      <c r="F144" s="33">
        <v>0</v>
      </c>
      <c r="G144" s="33">
        <v>0</v>
      </c>
      <c r="H144" s="34"/>
      <c r="I144" s="31">
        <v>600</v>
      </c>
      <c r="J144" s="33">
        <v>41617.43</v>
      </c>
      <c r="K144" s="34"/>
      <c r="L144" s="31">
        <v>0</v>
      </c>
      <c r="M144" s="33">
        <v>0</v>
      </c>
      <c r="N144" s="34"/>
      <c r="O144" s="31">
        <v>600</v>
      </c>
      <c r="P144" s="37">
        <v>69.362383333333341</v>
      </c>
      <c r="Q144" s="35">
        <v>41617.43</v>
      </c>
      <c r="R144" s="1" t="s">
        <v>0</v>
      </c>
    </row>
    <row r="145" spans="2:18" ht="13.5" x14ac:dyDescent="0.25">
      <c r="B145" s="16" t="s">
        <v>224</v>
      </c>
      <c r="C145" s="9" t="s">
        <v>26</v>
      </c>
      <c r="D145" s="9" t="s">
        <v>332</v>
      </c>
      <c r="E145" s="31">
        <v>64000</v>
      </c>
      <c r="F145" s="33">
        <v>0.79902407462153524</v>
      </c>
      <c r="G145" s="33">
        <v>51137.540775778252</v>
      </c>
      <c r="H145" s="34"/>
      <c r="I145" s="31">
        <v>4896</v>
      </c>
      <c r="J145" s="33">
        <v>3912.0218693470365</v>
      </c>
      <c r="K145" s="34"/>
      <c r="L145" s="31">
        <v>0</v>
      </c>
      <c r="M145" s="33">
        <v>0</v>
      </c>
      <c r="N145" s="34"/>
      <c r="O145" s="31">
        <v>68896</v>
      </c>
      <c r="P145" s="37">
        <v>0.79902407462153524</v>
      </c>
      <c r="Q145" s="35">
        <v>55049.56264512529</v>
      </c>
      <c r="R145" s="1" t="s">
        <v>0</v>
      </c>
    </row>
    <row r="146" spans="2:18" ht="13.5" x14ac:dyDescent="0.25">
      <c r="B146" s="16" t="s">
        <v>224</v>
      </c>
      <c r="C146" s="9" t="s">
        <v>560</v>
      </c>
      <c r="D146" s="9" t="s">
        <v>561</v>
      </c>
      <c r="E146" s="31">
        <v>0</v>
      </c>
      <c r="F146" s="33">
        <v>4.0973809914327939</v>
      </c>
      <c r="G146" s="33">
        <v>0</v>
      </c>
      <c r="H146" s="34"/>
      <c r="I146" s="31">
        <v>4896</v>
      </c>
      <c r="J146" s="33">
        <v>20060.777334054957</v>
      </c>
      <c r="K146" s="34"/>
      <c r="L146" s="31">
        <v>0</v>
      </c>
      <c r="M146" s="33">
        <v>0</v>
      </c>
      <c r="N146" s="34"/>
      <c r="O146" s="31">
        <v>4896</v>
      </c>
      <c r="P146" s="37">
        <v>4.0973809914327939</v>
      </c>
      <c r="Q146" s="35">
        <v>20060.777334054957</v>
      </c>
      <c r="R146" s="1" t="s">
        <v>0</v>
      </c>
    </row>
    <row r="147" spans="2:18" ht="13.5" x14ac:dyDescent="0.25">
      <c r="B147" s="16" t="s">
        <v>224</v>
      </c>
      <c r="C147" s="9" t="s">
        <v>9</v>
      </c>
      <c r="D147" s="9" t="s">
        <v>333</v>
      </c>
      <c r="E147" s="31">
        <v>562</v>
      </c>
      <c r="F147" s="33">
        <v>2.4507073029826594</v>
      </c>
      <c r="G147" s="33">
        <v>1377.2975042762546</v>
      </c>
      <c r="H147" s="34"/>
      <c r="I147" s="31">
        <v>4725</v>
      </c>
      <c r="J147" s="33">
        <v>12075.09</v>
      </c>
      <c r="K147" s="34"/>
      <c r="L147" s="31">
        <v>-2</v>
      </c>
      <c r="M147" s="33">
        <v>-5.0888547396543427</v>
      </c>
      <c r="N147" s="34"/>
      <c r="O147" s="31">
        <v>5285</v>
      </c>
      <c r="P147" s="37">
        <v>2.5444273698271718</v>
      </c>
      <c r="Q147" s="35">
        <v>13447.298649536602</v>
      </c>
      <c r="R147" s="1" t="s">
        <v>0</v>
      </c>
    </row>
    <row r="148" spans="2:18" ht="13.5" x14ac:dyDescent="0.25">
      <c r="B148" s="16" t="s">
        <v>224</v>
      </c>
      <c r="C148" s="9" t="s">
        <v>27</v>
      </c>
      <c r="D148" s="9" t="s">
        <v>334</v>
      </c>
      <c r="E148" s="31">
        <v>40187</v>
      </c>
      <c r="F148" s="33">
        <v>0.39652777777777781</v>
      </c>
      <c r="G148" s="33">
        <v>15935.261805555558</v>
      </c>
      <c r="H148" s="34"/>
      <c r="I148" s="31">
        <v>0</v>
      </c>
      <c r="J148" s="33">
        <v>0</v>
      </c>
      <c r="K148" s="34"/>
      <c r="L148" s="31">
        <v>-6136</v>
      </c>
      <c r="M148" s="33">
        <v>-2433.0944444444444</v>
      </c>
      <c r="N148" s="34"/>
      <c r="O148" s="31">
        <v>34051</v>
      </c>
      <c r="P148" s="37">
        <v>0.39652777777777781</v>
      </c>
      <c r="Q148" s="35">
        <v>13502.167361111113</v>
      </c>
      <c r="R148" s="1" t="s">
        <v>521</v>
      </c>
    </row>
    <row r="149" spans="2:18" ht="13.5" x14ac:dyDescent="0.25">
      <c r="B149" s="16" t="s">
        <v>224</v>
      </c>
      <c r="C149" s="9" t="s">
        <v>28</v>
      </c>
      <c r="D149" s="9" t="s">
        <v>335</v>
      </c>
      <c r="E149" s="31">
        <v>90328</v>
      </c>
      <c r="F149" s="33">
        <v>0.3404804278019638</v>
      </c>
      <c r="G149" s="33">
        <v>30754.916082495787</v>
      </c>
      <c r="H149" s="34"/>
      <c r="I149" s="31">
        <v>0</v>
      </c>
      <c r="J149" s="33">
        <v>0</v>
      </c>
      <c r="K149" s="34"/>
      <c r="L149" s="31">
        <v>-22868</v>
      </c>
      <c r="M149" s="33">
        <v>-7786.1064229753083</v>
      </c>
      <c r="N149" s="34"/>
      <c r="O149" s="31">
        <v>67460</v>
      </c>
      <c r="P149" s="37">
        <v>0.3404804278019638</v>
      </c>
      <c r="Q149" s="35">
        <v>22968.809659520477</v>
      </c>
      <c r="R149" s="1" t="s">
        <v>521</v>
      </c>
    </row>
    <row r="150" spans="2:18" ht="13.5" x14ac:dyDescent="0.25">
      <c r="B150" s="16" t="s">
        <v>224</v>
      </c>
      <c r="C150" s="9" t="s">
        <v>29</v>
      </c>
      <c r="D150" s="9" t="s">
        <v>336</v>
      </c>
      <c r="E150" s="31">
        <v>108000</v>
      </c>
      <c r="F150" s="33">
        <v>0.45707657704433263</v>
      </c>
      <c r="G150" s="33">
        <v>49364.270320787924</v>
      </c>
      <c r="H150" s="34"/>
      <c r="I150" s="31">
        <v>126000</v>
      </c>
      <c r="J150" s="33">
        <v>76519.8</v>
      </c>
      <c r="K150" s="34"/>
      <c r="L150" s="31">
        <v>69334</v>
      </c>
      <c r="M150" s="33">
        <v>0</v>
      </c>
      <c r="N150" s="34"/>
      <c r="O150" s="31">
        <v>303334</v>
      </c>
      <c r="P150" s="37">
        <v>0.41500151753772385</v>
      </c>
      <c r="Q150" s="35">
        <v>125884.07032078793</v>
      </c>
      <c r="R150" s="1" t="s">
        <v>521</v>
      </c>
    </row>
    <row r="151" spans="2:18" ht="13.5" x14ac:dyDescent="0.25">
      <c r="B151" s="16" t="s">
        <v>224</v>
      </c>
      <c r="C151" s="9" t="s">
        <v>30</v>
      </c>
      <c r="D151" s="9" t="s">
        <v>337</v>
      </c>
      <c r="E151" s="31">
        <v>2195.2080000000001</v>
      </c>
      <c r="F151" s="33">
        <v>18.343539047642938</v>
      </c>
      <c r="G151" s="33">
        <v>40267.883665698158</v>
      </c>
      <c r="H151" s="34"/>
      <c r="I151" s="31">
        <v>3635.3</v>
      </c>
      <c r="J151" s="33">
        <v>97571.45</v>
      </c>
      <c r="K151" s="34"/>
      <c r="L151" s="31">
        <v>-1129.8649999999998</v>
      </c>
      <c r="M151" s="33">
        <v>-26711.195445095695</v>
      </c>
      <c r="N151" s="34"/>
      <c r="O151" s="31">
        <v>4700.643</v>
      </c>
      <c r="P151" s="37">
        <v>23.641050430888381</v>
      </c>
      <c r="Q151" s="35">
        <v>111128.13822060246</v>
      </c>
      <c r="R151" s="1" t="s">
        <v>521</v>
      </c>
    </row>
    <row r="152" spans="2:18" ht="13.5" x14ac:dyDescent="0.25">
      <c r="B152" s="16" t="s">
        <v>224</v>
      </c>
      <c r="C152" s="9" t="s">
        <v>31</v>
      </c>
      <c r="D152" s="9" t="s">
        <v>338</v>
      </c>
      <c r="E152" s="31">
        <v>0</v>
      </c>
      <c r="F152" s="33">
        <v>0</v>
      </c>
      <c r="G152" s="33">
        <v>0</v>
      </c>
      <c r="H152" s="34"/>
      <c r="I152" s="31">
        <v>0</v>
      </c>
      <c r="J152" s="33">
        <v>0</v>
      </c>
      <c r="K152" s="34"/>
      <c r="L152" s="31">
        <v>0</v>
      </c>
      <c r="M152" s="33">
        <v>0</v>
      </c>
      <c r="N152" s="34"/>
      <c r="O152" s="31">
        <v>0</v>
      </c>
      <c r="P152" s="37">
        <v>0</v>
      </c>
      <c r="Q152" s="35">
        <v>0</v>
      </c>
      <c r="R152" s="1" t="s">
        <v>0</v>
      </c>
    </row>
    <row r="153" spans="2:18" ht="13.5" x14ac:dyDescent="0.25">
      <c r="B153" s="16" t="s">
        <v>224</v>
      </c>
      <c r="C153" s="9" t="s">
        <v>32</v>
      </c>
      <c r="D153" s="9" t="s">
        <v>339</v>
      </c>
      <c r="E153" s="31">
        <v>0</v>
      </c>
      <c r="F153" s="33">
        <v>0</v>
      </c>
      <c r="G153" s="33">
        <v>0</v>
      </c>
      <c r="H153" s="34"/>
      <c r="I153" s="31">
        <v>0</v>
      </c>
      <c r="J153" s="33">
        <v>0</v>
      </c>
      <c r="K153" s="34"/>
      <c r="L153" s="31">
        <v>0</v>
      </c>
      <c r="M153" s="33">
        <v>0</v>
      </c>
      <c r="N153" s="34"/>
      <c r="O153" s="31">
        <v>0</v>
      </c>
      <c r="P153" s="37">
        <v>0</v>
      </c>
      <c r="Q153" s="35">
        <v>0</v>
      </c>
      <c r="R153" s="1" t="s">
        <v>0</v>
      </c>
    </row>
    <row r="154" spans="2:18" ht="13.5" x14ac:dyDescent="0.25">
      <c r="B154" s="16" t="s">
        <v>224</v>
      </c>
      <c r="C154" s="9" t="s">
        <v>33</v>
      </c>
      <c r="D154" s="9" t="s">
        <v>340</v>
      </c>
      <c r="E154" s="31">
        <v>0</v>
      </c>
      <c r="F154" s="33">
        <v>0</v>
      </c>
      <c r="G154" s="33">
        <v>0</v>
      </c>
      <c r="H154" s="34"/>
      <c r="I154" s="31">
        <v>0</v>
      </c>
      <c r="J154" s="33">
        <v>0</v>
      </c>
      <c r="K154" s="34"/>
      <c r="L154" s="31">
        <v>0</v>
      </c>
      <c r="M154" s="33">
        <v>0</v>
      </c>
      <c r="N154" s="34"/>
      <c r="O154" s="31">
        <v>0</v>
      </c>
      <c r="P154" s="37">
        <v>0</v>
      </c>
      <c r="Q154" s="35">
        <v>0</v>
      </c>
      <c r="R154" s="1" t="s">
        <v>0</v>
      </c>
    </row>
    <row r="155" spans="2:18" ht="13.5" x14ac:dyDescent="0.25">
      <c r="B155" s="16" t="s">
        <v>224</v>
      </c>
      <c r="C155" s="9" t="s">
        <v>34</v>
      </c>
      <c r="D155" s="9" t="s">
        <v>341</v>
      </c>
      <c r="E155" s="31">
        <v>172.251</v>
      </c>
      <c r="F155" s="33">
        <v>42.755357170310496</v>
      </c>
      <c r="G155" s="33">
        <v>7364.6530279431536</v>
      </c>
      <c r="H155" s="34"/>
      <c r="I155" s="31">
        <v>0</v>
      </c>
      <c r="J155" s="33">
        <v>0</v>
      </c>
      <c r="K155" s="34"/>
      <c r="L155" s="31">
        <v>-7.3509999999999991</v>
      </c>
      <c r="M155" s="33">
        <v>-314.29463055895241</v>
      </c>
      <c r="N155" s="34"/>
      <c r="O155" s="31">
        <v>164.9</v>
      </c>
      <c r="P155" s="37">
        <v>42.755357170310496</v>
      </c>
      <c r="Q155" s="35">
        <v>7050.3583973842015</v>
      </c>
      <c r="R155" s="1" t="s">
        <v>521</v>
      </c>
    </row>
    <row r="156" spans="2:18" ht="13.5" x14ac:dyDescent="0.25">
      <c r="B156" s="16" t="s">
        <v>224</v>
      </c>
      <c r="C156" s="9" t="s">
        <v>35</v>
      </c>
      <c r="D156" s="9" t="s">
        <v>342</v>
      </c>
      <c r="E156" s="31">
        <v>75.440000000000012</v>
      </c>
      <c r="F156" s="33">
        <v>42.755357170310482</v>
      </c>
      <c r="G156" s="33">
        <v>3225.464144928223</v>
      </c>
      <c r="H156" s="34"/>
      <c r="I156" s="31">
        <v>0</v>
      </c>
      <c r="J156" s="33">
        <v>0</v>
      </c>
      <c r="K156" s="34"/>
      <c r="L156" s="31">
        <v>-51.902000000000044</v>
      </c>
      <c r="M156" s="33">
        <v>-2219.0885478534565</v>
      </c>
      <c r="N156" s="34"/>
      <c r="O156" s="31">
        <v>23.537999999999972</v>
      </c>
      <c r="P156" s="37">
        <v>42.755357170310468</v>
      </c>
      <c r="Q156" s="35">
        <v>1006.3755970747666</v>
      </c>
      <c r="R156" s="1" t="s">
        <v>521</v>
      </c>
    </row>
    <row r="157" spans="2:18" ht="13.5" x14ac:dyDescent="0.25">
      <c r="B157" s="16" t="s">
        <v>224</v>
      </c>
      <c r="C157" s="9" t="s">
        <v>36</v>
      </c>
      <c r="D157" s="9" t="s">
        <v>343</v>
      </c>
      <c r="E157" s="31">
        <v>16.8</v>
      </c>
      <c r="F157" s="33">
        <v>50.565108101646793</v>
      </c>
      <c r="G157" s="33">
        <v>849.49381610766613</v>
      </c>
      <c r="H157" s="34"/>
      <c r="I157" s="31">
        <v>0</v>
      </c>
      <c r="J157" s="33">
        <v>0</v>
      </c>
      <c r="K157" s="34"/>
      <c r="L157" s="31">
        <v>-1.6342482922482304E-13</v>
      </c>
      <c r="M157" s="33">
        <v>-8.2635941562463424E-12</v>
      </c>
      <c r="N157" s="34"/>
      <c r="O157" s="31">
        <v>16.799999999999837</v>
      </c>
      <c r="P157" s="37">
        <v>50.565108101646793</v>
      </c>
      <c r="Q157" s="35">
        <v>849.49381610765784</v>
      </c>
      <c r="R157" s="1" t="s">
        <v>521</v>
      </c>
    </row>
    <row r="158" spans="2:18" ht="13.5" x14ac:dyDescent="0.25">
      <c r="B158" s="16" t="s">
        <v>224</v>
      </c>
      <c r="C158" s="9" t="s">
        <v>106</v>
      </c>
      <c r="D158" s="9" t="s">
        <v>344</v>
      </c>
      <c r="E158" s="31">
        <v>0</v>
      </c>
      <c r="F158" s="33">
        <v>0</v>
      </c>
      <c r="G158" s="33">
        <v>0</v>
      </c>
      <c r="H158" s="34"/>
      <c r="I158" s="31">
        <v>0</v>
      </c>
      <c r="J158" s="33">
        <v>0</v>
      </c>
      <c r="K158" s="34"/>
      <c r="L158" s="31">
        <v>0</v>
      </c>
      <c r="M158" s="33">
        <v>0</v>
      </c>
      <c r="N158" s="34"/>
      <c r="O158" s="31">
        <v>0</v>
      </c>
      <c r="P158" s="37">
        <v>0</v>
      </c>
      <c r="Q158" s="35">
        <v>0</v>
      </c>
      <c r="R158" s="1" t="s">
        <v>0</v>
      </c>
    </row>
    <row r="159" spans="2:18" ht="13.5" x14ac:dyDescent="0.25">
      <c r="B159" s="16" t="s">
        <v>224</v>
      </c>
      <c r="C159" s="9" t="s">
        <v>107</v>
      </c>
      <c r="D159" s="9" t="s">
        <v>345</v>
      </c>
      <c r="E159" s="31">
        <v>0</v>
      </c>
      <c r="F159" s="33">
        <v>0</v>
      </c>
      <c r="G159" s="33">
        <v>0</v>
      </c>
      <c r="H159" s="34"/>
      <c r="I159" s="31">
        <v>0</v>
      </c>
      <c r="J159" s="33">
        <v>0</v>
      </c>
      <c r="K159" s="34"/>
      <c r="L159" s="31">
        <v>0</v>
      </c>
      <c r="M159" s="33">
        <v>0</v>
      </c>
      <c r="N159" s="34"/>
      <c r="O159" s="31">
        <v>0</v>
      </c>
      <c r="P159" s="37">
        <v>0</v>
      </c>
      <c r="Q159" s="35">
        <v>0</v>
      </c>
      <c r="R159" s="1" t="s">
        <v>0</v>
      </c>
    </row>
    <row r="160" spans="2:18" ht="13.5" x14ac:dyDescent="0.25">
      <c r="B160" s="16" t="s">
        <v>224</v>
      </c>
      <c r="C160" s="9" t="s">
        <v>108</v>
      </c>
      <c r="D160" s="9" t="s">
        <v>346</v>
      </c>
      <c r="E160" s="31">
        <v>0</v>
      </c>
      <c r="F160" s="33">
        <v>0</v>
      </c>
      <c r="G160" s="33">
        <v>0</v>
      </c>
      <c r="H160" s="34"/>
      <c r="I160" s="31">
        <v>0</v>
      </c>
      <c r="J160" s="33">
        <v>0</v>
      </c>
      <c r="K160" s="34"/>
      <c r="L160" s="31">
        <v>0</v>
      </c>
      <c r="M160" s="33">
        <v>0</v>
      </c>
      <c r="N160" s="34"/>
      <c r="O160" s="31">
        <v>0</v>
      </c>
      <c r="P160" s="37">
        <v>0</v>
      </c>
      <c r="Q160" s="35">
        <v>0</v>
      </c>
      <c r="R160" s="1" t="s">
        <v>0</v>
      </c>
    </row>
    <row r="161" spans="2:18" ht="13.5" x14ac:dyDescent="0.25">
      <c r="B161" s="16" t="s">
        <v>224</v>
      </c>
      <c r="C161" s="9" t="s">
        <v>37</v>
      </c>
      <c r="D161" s="9" t="s">
        <v>139</v>
      </c>
      <c r="E161" s="31">
        <v>316800</v>
      </c>
      <c r="F161" s="33">
        <v>7.8095959292473305</v>
      </c>
      <c r="G161" s="33">
        <v>2474079.9903855543</v>
      </c>
      <c r="H161" s="34"/>
      <c r="I161" s="31">
        <v>0</v>
      </c>
      <c r="J161" s="33">
        <v>0</v>
      </c>
      <c r="K161" s="34"/>
      <c r="L161" s="31">
        <v>-148000</v>
      </c>
      <c r="M161" s="33">
        <v>-1155820.1975286049</v>
      </c>
      <c r="N161" s="34"/>
      <c r="O161" s="31">
        <v>168800</v>
      </c>
      <c r="P161" s="37">
        <v>7.8095959292473305</v>
      </c>
      <c r="Q161" s="35">
        <v>1318259.7928569494</v>
      </c>
      <c r="R161" s="1" t="s">
        <v>521</v>
      </c>
    </row>
    <row r="162" spans="2:18" ht="13.5" x14ac:dyDescent="0.25">
      <c r="B162" s="16" t="s">
        <v>224</v>
      </c>
      <c r="C162" s="9" t="s">
        <v>38</v>
      </c>
      <c r="D162" s="9" t="s">
        <v>171</v>
      </c>
      <c r="E162" s="31">
        <v>479949</v>
      </c>
      <c r="F162" s="33">
        <v>0.54170401851851835</v>
      </c>
      <c r="G162" s="33">
        <v>259990.30198394437</v>
      </c>
      <c r="H162" s="34"/>
      <c r="I162" s="31">
        <v>0</v>
      </c>
      <c r="J162" s="33">
        <v>0</v>
      </c>
      <c r="K162" s="34"/>
      <c r="L162" s="31">
        <v>-119949</v>
      </c>
      <c r="M162" s="33">
        <v>-64976.855317277754</v>
      </c>
      <c r="N162" s="34"/>
      <c r="O162" s="31">
        <v>360000</v>
      </c>
      <c r="P162" s="37">
        <v>0.54170401851851846</v>
      </c>
      <c r="Q162" s="35">
        <v>195013.44666666663</v>
      </c>
      <c r="R162" s="1" t="s">
        <v>521</v>
      </c>
    </row>
    <row r="163" spans="2:18" ht="13.5" x14ac:dyDescent="0.25">
      <c r="B163" s="16" t="s">
        <v>224</v>
      </c>
      <c r="C163" s="9" t="s">
        <v>39</v>
      </c>
      <c r="D163" s="9" t="s">
        <v>162</v>
      </c>
      <c r="E163" s="31">
        <v>85695</v>
      </c>
      <c r="F163" s="33">
        <v>1.2010808333333336</v>
      </c>
      <c r="G163" s="33">
        <v>102926.62201250003</v>
      </c>
      <c r="H163" s="34"/>
      <c r="I163" s="31">
        <v>0</v>
      </c>
      <c r="J163" s="33">
        <v>0</v>
      </c>
      <c r="K163" s="34"/>
      <c r="L163" s="31">
        <v>-13415</v>
      </c>
      <c r="M163" s="33">
        <v>-16112.499379166669</v>
      </c>
      <c r="N163" s="34"/>
      <c r="O163" s="31">
        <v>72280</v>
      </c>
      <c r="P163" s="37">
        <v>1.2010808333333338</v>
      </c>
      <c r="Q163" s="35">
        <v>86814.122633333362</v>
      </c>
      <c r="R163" s="1" t="s">
        <v>0</v>
      </c>
    </row>
    <row r="164" spans="2:18" ht="13.5" x14ac:dyDescent="0.25">
      <c r="B164" s="16" t="s">
        <v>224</v>
      </c>
      <c r="C164" s="9" t="s">
        <v>40</v>
      </c>
      <c r="D164" s="9" t="s">
        <v>219</v>
      </c>
      <c r="E164" s="31">
        <v>0</v>
      </c>
      <c r="F164" s="33">
        <v>0</v>
      </c>
      <c r="G164" s="33">
        <v>0</v>
      </c>
      <c r="H164" s="34"/>
      <c r="I164" s="31">
        <v>0</v>
      </c>
      <c r="J164" s="33">
        <v>0</v>
      </c>
      <c r="K164" s="34"/>
      <c r="L164" s="31">
        <v>0</v>
      </c>
      <c r="M164" s="33">
        <v>0</v>
      </c>
      <c r="N164" s="34"/>
      <c r="O164" s="31">
        <v>0</v>
      </c>
      <c r="P164" s="37">
        <v>0</v>
      </c>
      <c r="Q164" s="35">
        <v>0</v>
      </c>
      <c r="R164" s="1" t="s">
        <v>0</v>
      </c>
    </row>
    <row r="165" spans="2:18" ht="13.5" x14ac:dyDescent="0.25">
      <c r="B165" s="16" t="s">
        <v>224</v>
      </c>
      <c r="C165" s="9" t="s">
        <v>41</v>
      </c>
      <c r="D165" s="9" t="s">
        <v>347</v>
      </c>
      <c r="E165" s="31">
        <v>39530</v>
      </c>
      <c r="F165" s="33">
        <v>0.38384038684730398</v>
      </c>
      <c r="G165" s="33">
        <v>15173.210492073926</v>
      </c>
      <c r="H165" s="34"/>
      <c r="I165" s="31">
        <v>0</v>
      </c>
      <c r="J165" s="33">
        <v>0</v>
      </c>
      <c r="K165" s="34"/>
      <c r="L165" s="31">
        <v>0</v>
      </c>
      <c r="M165" s="33">
        <v>0</v>
      </c>
      <c r="N165" s="34"/>
      <c r="O165" s="31">
        <v>39530</v>
      </c>
      <c r="P165" s="37">
        <v>0.38384038684730398</v>
      </c>
      <c r="Q165" s="35">
        <v>15173.210492073926</v>
      </c>
      <c r="R165" s="1" t="s">
        <v>521</v>
      </c>
    </row>
    <row r="166" spans="2:18" ht="13.5" x14ac:dyDescent="0.25">
      <c r="B166" s="16" t="s">
        <v>224</v>
      </c>
      <c r="C166" s="9" t="s">
        <v>42</v>
      </c>
      <c r="D166" s="9" t="s">
        <v>348</v>
      </c>
      <c r="E166" s="31">
        <v>128648</v>
      </c>
      <c r="F166" s="33">
        <v>0.50398411301508295</v>
      </c>
      <c r="G166" s="33">
        <v>64836.548171164388</v>
      </c>
      <c r="H166" s="34"/>
      <c r="I166" s="31">
        <v>0</v>
      </c>
      <c r="J166" s="33">
        <v>0</v>
      </c>
      <c r="K166" s="34"/>
      <c r="L166" s="31">
        <v>-128648</v>
      </c>
      <c r="M166" s="33">
        <v>-64836.548171164388</v>
      </c>
      <c r="N166" s="34"/>
      <c r="O166" s="31">
        <v>0</v>
      </c>
      <c r="P166" s="37">
        <v>0.50398411301508295</v>
      </c>
      <c r="Q166" s="35">
        <v>0</v>
      </c>
      <c r="R166" s="1" t="s">
        <v>521</v>
      </c>
    </row>
    <row r="167" spans="2:18" ht="13.5" x14ac:dyDescent="0.25">
      <c r="B167" s="16" t="s">
        <v>224</v>
      </c>
      <c r="C167" s="9" t="s">
        <v>43</v>
      </c>
      <c r="D167" s="9" t="s">
        <v>349</v>
      </c>
      <c r="E167" s="31">
        <v>0</v>
      </c>
      <c r="F167" s="33">
        <v>0</v>
      </c>
      <c r="G167" s="33">
        <v>0</v>
      </c>
      <c r="H167" s="34"/>
      <c r="I167" s="31">
        <v>0</v>
      </c>
      <c r="J167" s="33">
        <v>0</v>
      </c>
      <c r="K167" s="34"/>
      <c r="L167" s="31">
        <v>0</v>
      </c>
      <c r="M167" s="33">
        <v>0</v>
      </c>
      <c r="N167" s="34"/>
      <c r="O167" s="31">
        <v>0</v>
      </c>
      <c r="P167" s="37">
        <v>0</v>
      </c>
      <c r="Q167" s="35">
        <v>0</v>
      </c>
      <c r="R167" s="1" t="s">
        <v>0</v>
      </c>
    </row>
    <row r="168" spans="2:18" ht="13.5" x14ac:dyDescent="0.25">
      <c r="B168" s="16" t="s">
        <v>224</v>
      </c>
      <c r="C168" s="9" t="s">
        <v>10</v>
      </c>
      <c r="D168" s="9" t="s">
        <v>350</v>
      </c>
      <c r="E168" s="31">
        <v>0</v>
      </c>
      <c r="F168" s="33">
        <v>0</v>
      </c>
      <c r="G168" s="33">
        <v>0</v>
      </c>
      <c r="H168" s="34"/>
      <c r="I168" s="31">
        <v>0</v>
      </c>
      <c r="J168" s="33">
        <v>0</v>
      </c>
      <c r="K168" s="34"/>
      <c r="L168" s="31">
        <v>0</v>
      </c>
      <c r="M168" s="33">
        <v>0</v>
      </c>
      <c r="N168" s="34"/>
      <c r="O168" s="31">
        <v>0</v>
      </c>
      <c r="P168" s="37">
        <v>0</v>
      </c>
      <c r="Q168" s="35">
        <v>0</v>
      </c>
      <c r="R168" s="1" t="s">
        <v>0</v>
      </c>
    </row>
    <row r="169" spans="2:18" ht="13.5" x14ac:dyDescent="0.25">
      <c r="B169" s="16" t="s">
        <v>224</v>
      </c>
      <c r="C169" s="9" t="s">
        <v>11</v>
      </c>
      <c r="D169" s="9" t="s">
        <v>351</v>
      </c>
      <c r="E169" s="31">
        <v>0</v>
      </c>
      <c r="F169" s="33">
        <v>0</v>
      </c>
      <c r="G169" s="33">
        <v>0</v>
      </c>
      <c r="H169" s="34"/>
      <c r="I169" s="31">
        <v>0</v>
      </c>
      <c r="J169" s="33">
        <v>0</v>
      </c>
      <c r="K169" s="34"/>
      <c r="L169" s="31">
        <v>0</v>
      </c>
      <c r="M169" s="33">
        <v>0</v>
      </c>
      <c r="N169" s="34"/>
      <c r="O169" s="31">
        <v>0</v>
      </c>
      <c r="P169" s="37">
        <v>0</v>
      </c>
      <c r="Q169" s="35">
        <v>0</v>
      </c>
      <c r="R169" s="1" t="s">
        <v>0</v>
      </c>
    </row>
    <row r="170" spans="2:18" ht="13.5" x14ac:dyDescent="0.25">
      <c r="B170" s="16" t="s">
        <v>224</v>
      </c>
      <c r="C170" s="9" t="s">
        <v>12</v>
      </c>
      <c r="D170" s="9" t="s">
        <v>352</v>
      </c>
      <c r="E170" s="31">
        <v>0</v>
      </c>
      <c r="F170" s="33">
        <v>0</v>
      </c>
      <c r="G170" s="33">
        <v>0</v>
      </c>
      <c r="H170" s="34"/>
      <c r="I170" s="31">
        <v>0</v>
      </c>
      <c r="J170" s="33">
        <v>0</v>
      </c>
      <c r="K170" s="34"/>
      <c r="L170" s="31">
        <v>0</v>
      </c>
      <c r="M170" s="33">
        <v>0</v>
      </c>
      <c r="N170" s="34"/>
      <c r="O170" s="31">
        <v>0</v>
      </c>
      <c r="P170" s="37">
        <v>0</v>
      </c>
      <c r="Q170" s="35">
        <v>0</v>
      </c>
      <c r="R170" s="1" t="s">
        <v>521</v>
      </c>
    </row>
    <row r="171" spans="2:18" ht="13.5" x14ac:dyDescent="0.25">
      <c r="B171" s="16" t="s">
        <v>224</v>
      </c>
      <c r="C171" s="9" t="s">
        <v>13</v>
      </c>
      <c r="D171" s="9" t="s">
        <v>353</v>
      </c>
      <c r="E171" s="31">
        <v>0</v>
      </c>
      <c r="F171" s="33">
        <v>0</v>
      </c>
      <c r="G171" s="33">
        <v>0</v>
      </c>
      <c r="H171" s="34"/>
      <c r="I171" s="31">
        <v>0</v>
      </c>
      <c r="J171" s="33">
        <v>0</v>
      </c>
      <c r="K171" s="34"/>
      <c r="L171" s="31">
        <v>0</v>
      </c>
      <c r="M171" s="33">
        <v>0</v>
      </c>
      <c r="N171" s="34"/>
      <c r="O171" s="31">
        <v>0</v>
      </c>
      <c r="P171" s="37">
        <v>0</v>
      </c>
      <c r="Q171" s="35">
        <v>0</v>
      </c>
      <c r="R171" s="1" t="s">
        <v>0</v>
      </c>
    </row>
    <row r="172" spans="2:18" ht="13.5" x14ac:dyDescent="0.25">
      <c r="B172" s="16" t="s">
        <v>224</v>
      </c>
      <c r="C172" s="9" t="s">
        <v>105</v>
      </c>
      <c r="D172" s="9" t="s">
        <v>354</v>
      </c>
      <c r="E172" s="31">
        <v>500</v>
      </c>
      <c r="F172" s="33">
        <v>0.11320000000000002</v>
      </c>
      <c r="G172" s="33">
        <v>56.600000000000009</v>
      </c>
      <c r="H172" s="34"/>
      <c r="I172" s="31">
        <v>0</v>
      </c>
      <c r="J172" s="33">
        <v>0</v>
      </c>
      <c r="K172" s="34"/>
      <c r="L172" s="31">
        <v>-500</v>
      </c>
      <c r="M172" s="33">
        <v>-56.600000000000009</v>
      </c>
      <c r="N172" s="34"/>
      <c r="O172" s="31">
        <v>0</v>
      </c>
      <c r="P172" s="37">
        <v>0.11320000000000002</v>
      </c>
      <c r="Q172" s="35">
        <v>0</v>
      </c>
      <c r="R172" s="1" t="s">
        <v>0</v>
      </c>
    </row>
    <row r="173" spans="2:18" ht="13.5" x14ac:dyDescent="0.25">
      <c r="B173" s="16" t="s">
        <v>224</v>
      </c>
      <c r="C173" s="9" t="s">
        <v>14</v>
      </c>
      <c r="D173" s="9" t="s">
        <v>355</v>
      </c>
      <c r="E173" s="31">
        <v>1782</v>
      </c>
      <c r="F173" s="33">
        <v>4.4517999408391438</v>
      </c>
      <c r="G173" s="33">
        <v>7933.1074945753535</v>
      </c>
      <c r="H173" s="34"/>
      <c r="I173" s="31">
        <v>4065</v>
      </c>
      <c r="J173" s="33">
        <v>10597.279999999999</v>
      </c>
      <c r="K173" s="34"/>
      <c r="L173" s="31">
        <v>-1402</v>
      </c>
      <c r="M173" s="33">
        <v>-4443.2364062587039</v>
      </c>
      <c r="N173" s="34"/>
      <c r="O173" s="31">
        <v>4445</v>
      </c>
      <c r="P173" s="37">
        <v>3.1692128432658375</v>
      </c>
      <c r="Q173" s="35">
        <v>14087.151088316648</v>
      </c>
      <c r="R173" s="1" t="s">
        <v>521</v>
      </c>
    </row>
    <row r="174" spans="2:18" ht="13.5" x14ac:dyDescent="0.25">
      <c r="B174" s="16" t="s">
        <v>224</v>
      </c>
      <c r="C174" s="9" t="s">
        <v>15</v>
      </c>
      <c r="D174" s="9" t="s">
        <v>356</v>
      </c>
      <c r="E174" s="31">
        <v>0</v>
      </c>
      <c r="F174" s="33">
        <v>0</v>
      </c>
      <c r="G174" s="33">
        <v>0</v>
      </c>
      <c r="H174" s="34"/>
      <c r="I174" s="31">
        <v>0</v>
      </c>
      <c r="J174" s="33">
        <v>0</v>
      </c>
      <c r="K174" s="34"/>
      <c r="L174" s="31">
        <v>0</v>
      </c>
      <c r="M174" s="33">
        <v>0</v>
      </c>
      <c r="N174" s="34"/>
      <c r="O174" s="31">
        <v>0</v>
      </c>
      <c r="P174" s="37">
        <v>0</v>
      </c>
      <c r="Q174" s="35">
        <v>0</v>
      </c>
      <c r="R174" s="1" t="s">
        <v>0</v>
      </c>
    </row>
    <row r="175" spans="2:18" ht="13.5" x14ac:dyDescent="0.25">
      <c r="B175" s="16" t="s">
        <v>224</v>
      </c>
      <c r="C175" s="9" t="s">
        <v>16</v>
      </c>
      <c r="D175" s="9" t="s">
        <v>357</v>
      </c>
      <c r="E175" s="31">
        <v>0</v>
      </c>
      <c r="F175" s="33">
        <v>0</v>
      </c>
      <c r="G175" s="33">
        <v>0</v>
      </c>
      <c r="H175" s="34"/>
      <c r="I175" s="31">
        <v>0</v>
      </c>
      <c r="J175" s="33">
        <v>0</v>
      </c>
      <c r="K175" s="34"/>
      <c r="L175" s="31">
        <v>0</v>
      </c>
      <c r="M175" s="33">
        <v>0</v>
      </c>
      <c r="N175" s="34"/>
      <c r="O175" s="31">
        <v>0</v>
      </c>
      <c r="P175" s="37">
        <v>0</v>
      </c>
      <c r="Q175" s="35">
        <v>0</v>
      </c>
      <c r="R175" s="1" t="s">
        <v>0</v>
      </c>
    </row>
    <row r="176" spans="2:18" ht="13.5" x14ac:dyDescent="0.25">
      <c r="B176" s="16" t="s">
        <v>224</v>
      </c>
      <c r="C176" s="9" t="s">
        <v>17</v>
      </c>
      <c r="D176" s="9" t="s">
        <v>358</v>
      </c>
      <c r="E176" s="31">
        <v>0</v>
      </c>
      <c r="F176" s="33">
        <v>0</v>
      </c>
      <c r="G176" s="33">
        <v>0</v>
      </c>
      <c r="H176" s="34"/>
      <c r="I176" s="31">
        <v>0</v>
      </c>
      <c r="J176" s="33">
        <v>0</v>
      </c>
      <c r="K176" s="34"/>
      <c r="L176" s="31">
        <v>0</v>
      </c>
      <c r="M176" s="33">
        <v>0</v>
      </c>
      <c r="N176" s="34"/>
      <c r="O176" s="31">
        <v>0</v>
      </c>
      <c r="P176" s="37">
        <v>0</v>
      </c>
      <c r="Q176" s="35">
        <v>0</v>
      </c>
      <c r="R176" s="1" t="s">
        <v>0</v>
      </c>
    </row>
    <row r="177" spans="2:18" ht="13.5" x14ac:dyDescent="0.25">
      <c r="B177" s="16" t="s">
        <v>224</v>
      </c>
      <c r="C177" s="9" t="s">
        <v>18</v>
      </c>
      <c r="D177" s="9" t="s">
        <v>359</v>
      </c>
      <c r="E177" s="31">
        <v>22039</v>
      </c>
      <c r="F177" s="33">
        <v>0.95189458393857662</v>
      </c>
      <c r="G177" s="33">
        <v>20978.804735422291</v>
      </c>
      <c r="H177" s="34"/>
      <c r="I177" s="31">
        <v>0</v>
      </c>
      <c r="J177" s="33">
        <v>0</v>
      </c>
      <c r="K177" s="34"/>
      <c r="L177" s="31">
        <v>-22039</v>
      </c>
      <c r="M177" s="33">
        <v>-20978.804735422291</v>
      </c>
      <c r="N177" s="34"/>
      <c r="O177" s="31">
        <v>0</v>
      </c>
      <c r="P177" s="37">
        <v>0.95189458393857662</v>
      </c>
      <c r="Q177" s="35">
        <v>0</v>
      </c>
      <c r="R177" s="1" t="s">
        <v>0</v>
      </c>
    </row>
    <row r="178" spans="2:18" ht="13.5" x14ac:dyDescent="0.25">
      <c r="B178" s="16" t="s">
        <v>224</v>
      </c>
      <c r="C178" s="9" t="s">
        <v>19</v>
      </c>
      <c r="D178" s="9" t="s">
        <v>360</v>
      </c>
      <c r="E178" s="31">
        <v>4106</v>
      </c>
      <c r="F178" s="33">
        <v>1.020903111145453</v>
      </c>
      <c r="G178" s="33">
        <v>4191.8281743632297</v>
      </c>
      <c r="H178" s="34"/>
      <c r="I178" s="31">
        <v>0</v>
      </c>
      <c r="J178" s="33">
        <v>0</v>
      </c>
      <c r="K178" s="34"/>
      <c r="L178" s="31">
        <v>0</v>
      </c>
      <c r="M178" s="33">
        <v>0</v>
      </c>
      <c r="N178" s="34"/>
      <c r="O178" s="31">
        <v>4106</v>
      </c>
      <c r="P178" s="37">
        <v>1.020903111145453</v>
      </c>
      <c r="Q178" s="35">
        <v>4191.8281743632297</v>
      </c>
      <c r="R178" s="1" t="s">
        <v>521</v>
      </c>
    </row>
    <row r="179" spans="2:18" ht="13.5" x14ac:dyDescent="0.25">
      <c r="B179" s="16" t="s">
        <v>224</v>
      </c>
      <c r="C179" s="9" t="s">
        <v>44</v>
      </c>
      <c r="D179" s="9" t="s">
        <v>361</v>
      </c>
      <c r="E179" s="31">
        <v>24984</v>
      </c>
      <c r="F179" s="33">
        <v>0.61099999999999999</v>
      </c>
      <c r="G179" s="33">
        <v>15265.224</v>
      </c>
      <c r="H179" s="34"/>
      <c r="I179" s="31">
        <v>0</v>
      </c>
      <c r="J179" s="33">
        <v>0</v>
      </c>
      <c r="K179" s="34"/>
      <c r="L179" s="31">
        <v>-24984</v>
      </c>
      <c r="M179" s="33">
        <v>-15265.224</v>
      </c>
      <c r="N179" s="34"/>
      <c r="O179" s="31">
        <v>0</v>
      </c>
      <c r="P179" s="37">
        <v>0.61099999999999999</v>
      </c>
      <c r="Q179" s="35">
        <v>0</v>
      </c>
      <c r="R179" s="1" t="s">
        <v>0</v>
      </c>
    </row>
    <row r="180" spans="2:18" ht="13.5" x14ac:dyDescent="0.25">
      <c r="B180" s="16" t="s">
        <v>224</v>
      </c>
      <c r="C180" s="9" t="s">
        <v>45</v>
      </c>
      <c r="D180" s="9" t="s">
        <v>362</v>
      </c>
      <c r="E180" s="31">
        <v>0</v>
      </c>
      <c r="F180" s="33">
        <v>5.7815666052749057E-2</v>
      </c>
      <c r="G180" s="33">
        <v>0</v>
      </c>
      <c r="H180" s="34"/>
      <c r="I180" s="31">
        <v>0</v>
      </c>
      <c r="J180" s="33">
        <v>0</v>
      </c>
      <c r="K180" s="34"/>
      <c r="L180" s="31">
        <v>0</v>
      </c>
      <c r="M180" s="33">
        <v>0</v>
      </c>
      <c r="N180" s="34"/>
      <c r="O180" s="31">
        <v>0</v>
      </c>
      <c r="P180" s="37">
        <v>5.7815666052749057E-2</v>
      </c>
      <c r="Q180" s="35">
        <v>0</v>
      </c>
      <c r="R180" s="1" t="s">
        <v>521</v>
      </c>
    </row>
    <row r="181" spans="2:18" ht="13.5" x14ac:dyDescent="0.25">
      <c r="B181" s="16" t="s">
        <v>224</v>
      </c>
      <c r="C181" s="9" t="s">
        <v>46</v>
      </c>
      <c r="D181" s="9" t="s">
        <v>363</v>
      </c>
      <c r="E181" s="31">
        <v>80380</v>
      </c>
      <c r="F181" s="33">
        <v>1.5512664629484035E-2</v>
      </c>
      <c r="G181" s="33">
        <v>1246.9079829179268</v>
      </c>
      <c r="H181" s="34"/>
      <c r="I181" s="31">
        <v>0</v>
      </c>
      <c r="J181" s="33">
        <v>0</v>
      </c>
      <c r="K181" s="34"/>
      <c r="L181" s="31">
        <v>-80380</v>
      </c>
      <c r="M181" s="33">
        <v>-1246.9079829179268</v>
      </c>
      <c r="N181" s="34"/>
      <c r="O181" s="31">
        <v>0</v>
      </c>
      <c r="P181" s="37">
        <v>1.5512664629484035E-2</v>
      </c>
      <c r="Q181" s="35">
        <v>0</v>
      </c>
      <c r="R181" s="1" t="s">
        <v>0</v>
      </c>
    </row>
    <row r="182" spans="2:18" ht="13.5" x14ac:dyDescent="0.25">
      <c r="B182" s="16" t="s">
        <v>224</v>
      </c>
      <c r="C182" s="9" t="s">
        <v>47</v>
      </c>
      <c r="D182" s="9" t="s">
        <v>364</v>
      </c>
      <c r="E182" s="31">
        <v>332738</v>
      </c>
      <c r="F182" s="33">
        <v>1.6324819352954757E-2</v>
      </c>
      <c r="G182" s="33">
        <v>5431.8877418634602</v>
      </c>
      <c r="H182" s="34"/>
      <c r="I182" s="31">
        <v>352000</v>
      </c>
      <c r="J182" s="33">
        <v>5280</v>
      </c>
      <c r="K182" s="34"/>
      <c r="L182" s="31">
        <v>-684738</v>
      </c>
      <c r="M182" s="33">
        <v>-10711.887741863458</v>
      </c>
      <c r="N182" s="34"/>
      <c r="O182" s="31">
        <v>0</v>
      </c>
      <c r="P182" s="37">
        <v>1.6324819352954757E-2</v>
      </c>
      <c r="Q182" s="35">
        <v>0</v>
      </c>
      <c r="R182" s="1" t="s">
        <v>521</v>
      </c>
    </row>
    <row r="183" spans="2:18" ht="13.5" x14ac:dyDescent="0.25">
      <c r="B183" s="16" t="s">
        <v>224</v>
      </c>
      <c r="C183" s="9" t="s">
        <v>115</v>
      </c>
      <c r="D183" s="9" t="s">
        <v>676</v>
      </c>
      <c r="E183" s="31">
        <v>12000</v>
      </c>
      <c r="F183" s="33">
        <v>7.1271466666666665</v>
      </c>
      <c r="G183" s="33">
        <v>85525.759999999995</v>
      </c>
      <c r="H183" s="34"/>
      <c r="I183" s="31">
        <v>0</v>
      </c>
      <c r="J183" s="33">
        <v>0</v>
      </c>
      <c r="K183" s="34"/>
      <c r="L183" s="31">
        <v>-1300</v>
      </c>
      <c r="M183" s="33">
        <v>-9265.2906666666659</v>
      </c>
      <c r="N183" s="34"/>
      <c r="O183" s="31">
        <v>10700</v>
      </c>
      <c r="P183" s="37">
        <v>7.1271466666666665</v>
      </c>
      <c r="Q183" s="35">
        <v>76260.469333333327</v>
      </c>
      <c r="R183" s="1" t="s">
        <v>521</v>
      </c>
    </row>
    <row r="184" spans="2:18" ht="13.5" x14ac:dyDescent="0.25">
      <c r="B184" s="16" t="s">
        <v>224</v>
      </c>
      <c r="C184" s="9" t="s">
        <v>116</v>
      </c>
      <c r="D184" s="9" t="s">
        <v>677</v>
      </c>
      <c r="E184" s="31">
        <v>12000</v>
      </c>
      <c r="F184" s="33">
        <v>0.44693499999999997</v>
      </c>
      <c r="G184" s="33">
        <v>5363.2199999999993</v>
      </c>
      <c r="H184" s="34"/>
      <c r="I184" s="31">
        <v>0</v>
      </c>
      <c r="J184" s="33">
        <v>0</v>
      </c>
      <c r="K184" s="34"/>
      <c r="L184" s="31">
        <v>0</v>
      </c>
      <c r="M184" s="33">
        <v>0</v>
      </c>
      <c r="N184" s="34"/>
      <c r="O184" s="31">
        <v>12000</v>
      </c>
      <c r="P184" s="37">
        <v>0.44693499999999997</v>
      </c>
      <c r="Q184" s="35">
        <v>5363.2199999999993</v>
      </c>
      <c r="R184" s="1" t="s">
        <v>0</v>
      </c>
    </row>
    <row r="185" spans="2:18" ht="13.5" x14ac:dyDescent="0.25">
      <c r="B185" s="16" t="s">
        <v>224</v>
      </c>
      <c r="C185" s="9" t="s">
        <v>117</v>
      </c>
      <c r="D185" s="9" t="s">
        <v>678</v>
      </c>
      <c r="E185" s="31">
        <v>10000</v>
      </c>
      <c r="F185" s="33">
        <v>0.22730500000000001</v>
      </c>
      <c r="G185" s="33">
        <v>2273.0500000000002</v>
      </c>
      <c r="H185" s="34"/>
      <c r="I185" s="31">
        <v>0</v>
      </c>
      <c r="J185" s="33">
        <v>0</v>
      </c>
      <c r="K185" s="34"/>
      <c r="L185" s="31">
        <v>0</v>
      </c>
      <c r="M185" s="33">
        <v>0</v>
      </c>
      <c r="N185" s="34"/>
      <c r="O185" s="31">
        <v>10000</v>
      </c>
      <c r="P185" s="37">
        <v>0.22730500000000001</v>
      </c>
      <c r="Q185" s="35">
        <v>2273.0500000000002</v>
      </c>
      <c r="R185" s="1" t="s">
        <v>0</v>
      </c>
    </row>
    <row r="186" spans="2:18" ht="13.5" x14ac:dyDescent="0.25">
      <c r="B186" s="16" t="s">
        <v>224</v>
      </c>
      <c r="C186" s="9" t="s">
        <v>118</v>
      </c>
      <c r="D186" s="9" t="s">
        <v>679</v>
      </c>
      <c r="E186" s="31">
        <v>16111</v>
      </c>
      <c r="F186" s="33">
        <v>1.5661859714249045</v>
      </c>
      <c r="G186" s="33">
        <v>25232.822185626635</v>
      </c>
      <c r="H186" s="34"/>
      <c r="I186" s="31">
        <v>0</v>
      </c>
      <c r="J186" s="33">
        <v>0</v>
      </c>
      <c r="K186" s="34"/>
      <c r="L186" s="31">
        <v>-16111</v>
      </c>
      <c r="M186" s="33">
        <v>-25232.822185626635</v>
      </c>
      <c r="N186" s="34"/>
      <c r="O186" s="31">
        <v>0</v>
      </c>
      <c r="P186" s="37">
        <v>1.5661859714249045</v>
      </c>
      <c r="Q186" s="35">
        <v>0</v>
      </c>
      <c r="R186" s="1" t="s">
        <v>521</v>
      </c>
    </row>
    <row r="187" spans="2:18" ht="13.5" x14ac:dyDescent="0.25">
      <c r="B187" s="16" t="s">
        <v>224</v>
      </c>
      <c r="C187" s="9" t="s">
        <v>205</v>
      </c>
      <c r="D187" s="9" t="s">
        <v>365</v>
      </c>
      <c r="E187" s="31">
        <v>278389</v>
      </c>
      <c r="F187" s="33">
        <v>2.1566168321538348</v>
      </c>
      <c r="G187" s="33">
        <v>600378.40328647394</v>
      </c>
      <c r="H187" s="34"/>
      <c r="I187" s="31">
        <v>224000</v>
      </c>
      <c r="J187" s="33">
        <v>571818.09</v>
      </c>
      <c r="K187" s="34"/>
      <c r="L187" s="31">
        <v>-79543</v>
      </c>
      <c r="M187" s="33">
        <v>-185593.28660756105</v>
      </c>
      <c r="N187" s="34"/>
      <c r="O187" s="31">
        <v>422846</v>
      </c>
      <c r="P187" s="37">
        <v>2.3332447431899861</v>
      </c>
      <c r="Q187" s="35">
        <v>986603.20667891286</v>
      </c>
      <c r="R187" s="1" t="s">
        <v>521</v>
      </c>
    </row>
    <row r="188" spans="2:18" ht="13.5" x14ac:dyDescent="0.25">
      <c r="B188" s="16" t="s">
        <v>224</v>
      </c>
      <c r="C188" s="9" t="s">
        <v>206</v>
      </c>
      <c r="D188" s="9" t="s">
        <v>366</v>
      </c>
      <c r="E188" s="31">
        <v>59055</v>
      </c>
      <c r="F188" s="33">
        <v>2.8450325000000003</v>
      </c>
      <c r="G188" s="33">
        <v>168013.39428750001</v>
      </c>
      <c r="H188" s="34"/>
      <c r="I188" s="31">
        <v>0</v>
      </c>
      <c r="J188" s="33">
        <v>0</v>
      </c>
      <c r="K188" s="34"/>
      <c r="L188" s="31">
        <v>38422</v>
      </c>
      <c r="M188" s="33">
        <v>0</v>
      </c>
      <c r="N188" s="34"/>
      <c r="O188" s="31">
        <v>97477</v>
      </c>
      <c r="P188" s="37">
        <v>1.7236208981349448</v>
      </c>
      <c r="Q188" s="35">
        <v>168013.39428750001</v>
      </c>
      <c r="R188" s="1" t="s">
        <v>521</v>
      </c>
    </row>
    <row r="189" spans="2:18" ht="13.5" x14ac:dyDescent="0.25">
      <c r="B189" s="16" t="s">
        <v>224</v>
      </c>
      <c r="C189" s="9" t="s">
        <v>194</v>
      </c>
      <c r="D189" s="9" t="s">
        <v>367</v>
      </c>
      <c r="E189" s="31">
        <v>50419</v>
      </c>
      <c r="F189" s="33">
        <v>0.45395235743677542</v>
      </c>
      <c r="G189" s="33">
        <v>22887.82390960478</v>
      </c>
      <c r="H189" s="34"/>
      <c r="I189" s="31">
        <v>0</v>
      </c>
      <c r="J189" s="33">
        <v>0</v>
      </c>
      <c r="K189" s="34"/>
      <c r="L189" s="31">
        <v>-13249</v>
      </c>
      <c r="M189" s="33">
        <v>-6014.4147836798375</v>
      </c>
      <c r="N189" s="34"/>
      <c r="O189" s="31">
        <v>37170</v>
      </c>
      <c r="P189" s="37">
        <v>0.45395235743677548</v>
      </c>
      <c r="Q189" s="35">
        <v>16873.409125924944</v>
      </c>
      <c r="R189" s="1" t="s">
        <v>521</v>
      </c>
    </row>
    <row r="190" spans="2:18" ht="13.5" x14ac:dyDescent="0.25">
      <c r="B190" s="16" t="s">
        <v>224</v>
      </c>
      <c r="C190" s="9" t="s">
        <v>207</v>
      </c>
      <c r="D190" s="9" t="s">
        <v>368</v>
      </c>
      <c r="E190" s="31">
        <v>0</v>
      </c>
      <c r="F190" s="33">
        <v>0.49642372516765804</v>
      </c>
      <c r="G190" s="33">
        <v>0</v>
      </c>
      <c r="H190" s="34"/>
      <c r="I190" s="31">
        <v>0</v>
      </c>
      <c r="J190" s="33">
        <v>0</v>
      </c>
      <c r="K190" s="34"/>
      <c r="L190" s="31">
        <v>0</v>
      </c>
      <c r="M190" s="33">
        <v>0</v>
      </c>
      <c r="N190" s="34"/>
      <c r="O190" s="31">
        <v>0</v>
      </c>
      <c r="P190" s="37">
        <v>0.49642372516765804</v>
      </c>
      <c r="Q190" s="35">
        <v>0</v>
      </c>
      <c r="R190" s="1" t="s">
        <v>521</v>
      </c>
    </row>
    <row r="191" spans="2:18" ht="13.5" x14ac:dyDescent="0.25">
      <c r="B191" s="16" t="s">
        <v>224</v>
      </c>
      <c r="C191" s="9" t="s">
        <v>195</v>
      </c>
      <c r="D191" s="9" t="s">
        <v>369</v>
      </c>
      <c r="E191" s="31">
        <v>86.484300000000005</v>
      </c>
      <c r="F191" s="33">
        <v>48.100255356046794</v>
      </c>
      <c r="G191" s="33">
        <v>4159.9169142889577</v>
      </c>
      <c r="H191" s="34"/>
      <c r="I191" s="31">
        <v>0</v>
      </c>
      <c r="J191" s="33">
        <v>0</v>
      </c>
      <c r="K191" s="34"/>
      <c r="L191" s="31">
        <v>-42.284300000000002</v>
      </c>
      <c r="M191" s="33">
        <v>-2033.8856275516896</v>
      </c>
      <c r="N191" s="34"/>
      <c r="O191" s="31">
        <v>44.2</v>
      </c>
      <c r="P191" s="37">
        <v>48.100255356046787</v>
      </c>
      <c r="Q191" s="35">
        <v>2126.0312867372681</v>
      </c>
      <c r="R191" s="1" t="s">
        <v>521</v>
      </c>
    </row>
    <row r="192" spans="2:18" ht="13.5" x14ac:dyDescent="0.25">
      <c r="B192" s="16" t="s">
        <v>224</v>
      </c>
      <c r="C192" s="9" t="s">
        <v>196</v>
      </c>
      <c r="D192" s="9" t="s">
        <v>370</v>
      </c>
      <c r="E192" s="31">
        <v>14574</v>
      </c>
      <c r="F192" s="33">
        <v>1.8900031867431484</v>
      </c>
      <c r="G192" s="33">
        <v>27544.906443594646</v>
      </c>
      <c r="H192" s="34"/>
      <c r="I192" s="31">
        <v>0</v>
      </c>
      <c r="J192" s="33">
        <v>0</v>
      </c>
      <c r="K192" s="34"/>
      <c r="L192" s="31">
        <v>-714</v>
      </c>
      <c r="M192" s="33">
        <v>-1349.462275334608</v>
      </c>
      <c r="N192" s="34"/>
      <c r="O192" s="31">
        <v>13860</v>
      </c>
      <c r="P192" s="37">
        <v>1.8900031867431484</v>
      </c>
      <c r="Q192" s="35">
        <v>26195.444168260037</v>
      </c>
      <c r="R192" s="1" t="s">
        <v>521</v>
      </c>
    </row>
    <row r="193" spans="2:18" ht="13.5" x14ac:dyDescent="0.25">
      <c r="B193" s="16" t="s">
        <v>224</v>
      </c>
      <c r="C193" s="9" t="s">
        <v>172</v>
      </c>
      <c r="D193" s="9" t="s">
        <v>371</v>
      </c>
      <c r="E193" s="31">
        <v>0</v>
      </c>
      <c r="F193" s="33">
        <v>0</v>
      </c>
      <c r="G193" s="33">
        <v>0</v>
      </c>
      <c r="H193" s="34"/>
      <c r="I193" s="31">
        <v>0</v>
      </c>
      <c r="J193" s="33">
        <v>0</v>
      </c>
      <c r="K193" s="34"/>
      <c r="L193" s="31">
        <v>0</v>
      </c>
      <c r="M193" s="33">
        <v>0</v>
      </c>
      <c r="N193" s="34"/>
      <c r="O193" s="31">
        <v>0</v>
      </c>
      <c r="P193" s="37">
        <v>0</v>
      </c>
      <c r="Q193" s="35">
        <v>0</v>
      </c>
      <c r="R193" s="1" t="s">
        <v>0</v>
      </c>
    </row>
    <row r="194" spans="2:18" ht="13.5" x14ac:dyDescent="0.25">
      <c r="B194" s="16" t="s">
        <v>224</v>
      </c>
      <c r="C194" s="9" t="s">
        <v>214</v>
      </c>
      <c r="D194" s="9" t="s">
        <v>372</v>
      </c>
      <c r="E194" s="31">
        <v>0</v>
      </c>
      <c r="F194" s="33">
        <v>0</v>
      </c>
      <c r="G194" s="33">
        <v>0</v>
      </c>
      <c r="H194" s="34"/>
      <c r="I194" s="31">
        <v>0</v>
      </c>
      <c r="J194" s="33">
        <v>0</v>
      </c>
      <c r="K194" s="34"/>
      <c r="L194" s="31">
        <v>0</v>
      </c>
      <c r="M194" s="33">
        <v>0</v>
      </c>
      <c r="N194" s="34"/>
      <c r="O194" s="31">
        <v>0</v>
      </c>
      <c r="P194" s="37">
        <v>0</v>
      </c>
      <c r="Q194" s="35">
        <v>0</v>
      </c>
      <c r="R194" s="1" t="s">
        <v>0</v>
      </c>
    </row>
    <row r="195" spans="2:18" ht="13.5" x14ac:dyDescent="0.25">
      <c r="B195" s="16" t="s">
        <v>224</v>
      </c>
      <c r="C195" s="9" t="s">
        <v>402</v>
      </c>
      <c r="D195" s="9" t="s">
        <v>407</v>
      </c>
      <c r="E195" s="31">
        <v>0</v>
      </c>
      <c r="F195" s="33">
        <v>0</v>
      </c>
      <c r="G195" s="33">
        <v>0</v>
      </c>
      <c r="H195" s="34"/>
      <c r="I195" s="31">
        <v>0</v>
      </c>
      <c r="J195" s="33">
        <v>0</v>
      </c>
      <c r="K195" s="34"/>
      <c r="L195" s="31">
        <v>0</v>
      </c>
      <c r="M195" s="33">
        <v>0</v>
      </c>
      <c r="N195" s="34"/>
      <c r="O195" s="31">
        <v>0</v>
      </c>
      <c r="P195" s="37">
        <v>0</v>
      </c>
      <c r="Q195" s="35">
        <v>0</v>
      </c>
      <c r="R195" s="1" t="s">
        <v>521</v>
      </c>
    </row>
    <row r="196" spans="2:18" ht="13.5" x14ac:dyDescent="0.25">
      <c r="B196" s="16" t="s">
        <v>224</v>
      </c>
      <c r="C196" s="9" t="s">
        <v>443</v>
      </c>
      <c r="D196" s="9" t="s">
        <v>448</v>
      </c>
      <c r="E196" s="31">
        <v>97402</v>
      </c>
      <c r="F196" s="33">
        <v>0.46736445593114084</v>
      </c>
      <c r="G196" s="33">
        <v>45522.232736604979</v>
      </c>
      <c r="H196" s="34"/>
      <c r="I196" s="31">
        <v>126000</v>
      </c>
      <c r="J196" s="33">
        <v>81862.2</v>
      </c>
      <c r="K196" s="34"/>
      <c r="L196" s="31">
        <v>-223402</v>
      </c>
      <c r="M196" s="33">
        <v>-127384.43273660498</v>
      </c>
      <c r="N196" s="34"/>
      <c r="O196" s="31">
        <v>0</v>
      </c>
      <c r="P196" s="37">
        <v>0.46736445593114084</v>
      </c>
      <c r="Q196" s="35">
        <v>0</v>
      </c>
      <c r="R196" s="1" t="s">
        <v>521</v>
      </c>
    </row>
    <row r="197" spans="2:18" ht="13.5" x14ac:dyDescent="0.25">
      <c r="B197" s="16" t="s">
        <v>224</v>
      </c>
      <c r="C197" s="9" t="s">
        <v>483</v>
      </c>
      <c r="D197" s="9" t="s">
        <v>484</v>
      </c>
      <c r="E197" s="31">
        <v>17490</v>
      </c>
      <c r="F197" s="33">
        <v>0.42020999999999997</v>
      </c>
      <c r="G197" s="33">
        <v>7349.4728999999998</v>
      </c>
      <c r="H197" s="34"/>
      <c r="I197" s="31">
        <v>36000</v>
      </c>
      <c r="J197" s="33">
        <v>11694.6</v>
      </c>
      <c r="K197" s="34"/>
      <c r="L197" s="31">
        <v>-13420</v>
      </c>
      <c r="M197" s="33">
        <v>-4777.9296750420635</v>
      </c>
      <c r="N197" s="34"/>
      <c r="O197" s="31">
        <v>40070</v>
      </c>
      <c r="P197" s="37">
        <v>0.35603052720134604</v>
      </c>
      <c r="Q197" s="35">
        <v>14266.143224957936</v>
      </c>
      <c r="R197" s="1" t="s">
        <v>0</v>
      </c>
    </row>
    <row r="198" spans="2:18" ht="13.5" x14ac:dyDescent="0.25">
      <c r="B198" s="16" t="s">
        <v>224</v>
      </c>
      <c r="C198" s="9" t="s">
        <v>444</v>
      </c>
      <c r="D198" s="9" t="s">
        <v>449</v>
      </c>
      <c r="E198" s="31">
        <v>39702</v>
      </c>
      <c r="F198" s="33">
        <v>0.42020999999999997</v>
      </c>
      <c r="G198" s="33">
        <v>16683.17742</v>
      </c>
      <c r="H198" s="34"/>
      <c r="I198" s="31">
        <v>0</v>
      </c>
      <c r="J198" s="33">
        <v>0</v>
      </c>
      <c r="K198" s="34"/>
      <c r="L198" s="31">
        <v>-39702</v>
      </c>
      <c r="M198" s="33">
        <v>-16683.17742</v>
      </c>
      <c r="N198" s="34"/>
      <c r="O198" s="31">
        <v>0</v>
      </c>
      <c r="P198" s="37">
        <v>0.42020999999999997</v>
      </c>
      <c r="Q198" s="35">
        <v>0</v>
      </c>
      <c r="R198" s="1" t="s">
        <v>0</v>
      </c>
    </row>
    <row r="199" spans="2:18" ht="13.5" x14ac:dyDescent="0.25">
      <c r="B199" s="16" t="s">
        <v>224</v>
      </c>
      <c r="C199" s="9" t="s">
        <v>504</v>
      </c>
      <c r="D199" s="9" t="s">
        <v>511</v>
      </c>
      <c r="E199" s="31">
        <v>18000</v>
      </c>
      <c r="F199" s="33">
        <v>0.45408899999999996</v>
      </c>
      <c r="G199" s="33">
        <v>8173.601999999999</v>
      </c>
      <c r="H199" s="34"/>
      <c r="I199" s="31">
        <v>0</v>
      </c>
      <c r="J199" s="33">
        <v>0</v>
      </c>
      <c r="K199" s="34"/>
      <c r="L199" s="31">
        <v>-6136</v>
      </c>
      <c r="M199" s="33">
        <v>-2786.2901039999997</v>
      </c>
      <c r="N199" s="34"/>
      <c r="O199" s="31">
        <v>11864</v>
      </c>
      <c r="P199" s="37">
        <v>0.45408899999999991</v>
      </c>
      <c r="Q199" s="35">
        <v>5387.3118959999993</v>
      </c>
      <c r="R199" s="1" t="s">
        <v>0</v>
      </c>
    </row>
    <row r="200" spans="2:18" ht="13.5" x14ac:dyDescent="0.25">
      <c r="B200" s="16" t="s">
        <v>224</v>
      </c>
      <c r="C200" s="9" t="s">
        <v>445</v>
      </c>
      <c r="D200" s="9" t="s">
        <v>680</v>
      </c>
      <c r="E200" s="31">
        <v>219000</v>
      </c>
      <c r="F200" s="33">
        <v>6.3478181152569715E-2</v>
      </c>
      <c r="G200" s="33">
        <v>13901.721672412768</v>
      </c>
      <c r="H200" s="34"/>
      <c r="I200" s="31">
        <v>0</v>
      </c>
      <c r="J200" s="33">
        <v>0</v>
      </c>
      <c r="K200" s="34"/>
      <c r="L200" s="31">
        <v>-219000</v>
      </c>
      <c r="M200" s="33">
        <v>-13901.721672412768</v>
      </c>
      <c r="N200" s="34"/>
      <c r="O200" s="31">
        <v>0</v>
      </c>
      <c r="P200" s="37">
        <v>6.3478181152569715E-2</v>
      </c>
      <c r="Q200" s="35">
        <v>0</v>
      </c>
      <c r="R200" s="1" t="s">
        <v>0</v>
      </c>
    </row>
    <row r="201" spans="2:18" ht="13.5" x14ac:dyDescent="0.25">
      <c r="B201" s="16" t="s">
        <v>224</v>
      </c>
      <c r="C201" s="9" t="s">
        <v>454</v>
      </c>
      <c r="D201" s="9" t="s">
        <v>455</v>
      </c>
      <c r="E201" s="31">
        <v>0</v>
      </c>
      <c r="F201" s="33">
        <v>0.48428484396127924</v>
      </c>
      <c r="G201" s="33">
        <v>0</v>
      </c>
      <c r="H201" s="34"/>
      <c r="I201" s="31">
        <v>20885</v>
      </c>
      <c r="J201" s="33">
        <v>10114.288966131317</v>
      </c>
      <c r="K201" s="34"/>
      <c r="L201" s="31">
        <v>0</v>
      </c>
      <c r="M201" s="33">
        <v>0</v>
      </c>
      <c r="N201" s="34"/>
      <c r="O201" s="31">
        <v>20885</v>
      </c>
      <c r="P201" s="37">
        <v>0.48428484396127924</v>
      </c>
      <c r="Q201" s="35">
        <v>10114.288966131317</v>
      </c>
      <c r="R201" s="1" t="s">
        <v>0</v>
      </c>
    </row>
    <row r="202" spans="2:18" ht="13.5" x14ac:dyDescent="0.25">
      <c r="B202" s="16" t="s">
        <v>224</v>
      </c>
      <c r="C202" s="9" t="s">
        <v>456</v>
      </c>
      <c r="D202" s="9" t="s">
        <v>457</v>
      </c>
      <c r="E202" s="31">
        <v>0</v>
      </c>
      <c r="F202" s="33">
        <v>0.69244729196928856</v>
      </c>
      <c r="G202" s="33">
        <v>0</v>
      </c>
      <c r="H202" s="34"/>
      <c r="I202" s="31">
        <v>16600</v>
      </c>
      <c r="J202" s="33">
        <v>11494.625046690189</v>
      </c>
      <c r="K202" s="34"/>
      <c r="L202" s="31">
        <v>0</v>
      </c>
      <c r="M202" s="33">
        <v>0</v>
      </c>
      <c r="N202" s="34"/>
      <c r="O202" s="31">
        <v>16600</v>
      </c>
      <c r="P202" s="37">
        <v>0.69244729196928856</v>
      </c>
      <c r="Q202" s="35">
        <v>11494.625046690189</v>
      </c>
      <c r="R202" s="1" t="s">
        <v>0</v>
      </c>
    </row>
    <row r="203" spans="2:18" ht="13.5" x14ac:dyDescent="0.25">
      <c r="B203" s="16" t="s">
        <v>224</v>
      </c>
      <c r="C203" s="9" t="s">
        <v>458</v>
      </c>
      <c r="D203" s="9" t="s">
        <v>459</v>
      </c>
      <c r="E203" s="31">
        <v>0</v>
      </c>
      <c r="F203" s="33">
        <v>0.46544924999999993</v>
      </c>
      <c r="G203" s="33">
        <v>0</v>
      </c>
      <c r="H203" s="34"/>
      <c r="I203" s="31">
        <v>17800</v>
      </c>
      <c r="J203" s="33">
        <v>8284.9966499999991</v>
      </c>
      <c r="K203" s="34"/>
      <c r="L203" s="31">
        <v>0</v>
      </c>
      <c r="M203" s="33">
        <v>0</v>
      </c>
      <c r="N203" s="34"/>
      <c r="O203" s="31">
        <v>17800</v>
      </c>
      <c r="P203" s="37">
        <v>0.46544924999999993</v>
      </c>
      <c r="Q203" s="35">
        <v>8284.9966499999991</v>
      </c>
      <c r="R203" s="1" t="s">
        <v>0</v>
      </c>
    </row>
    <row r="204" spans="2:18" ht="13.5" x14ac:dyDescent="0.25">
      <c r="B204" s="16" t="s">
        <v>224</v>
      </c>
      <c r="C204" s="9" t="s">
        <v>469</v>
      </c>
      <c r="D204" s="9" t="s">
        <v>474</v>
      </c>
      <c r="E204" s="31">
        <v>4078</v>
      </c>
      <c r="F204" s="33">
        <v>1.1986846493379106</v>
      </c>
      <c r="G204" s="33">
        <v>4888.2359999999999</v>
      </c>
      <c r="H204" s="34"/>
      <c r="I204" s="31">
        <v>0</v>
      </c>
      <c r="J204" s="33">
        <v>0</v>
      </c>
      <c r="K204" s="34"/>
      <c r="L204" s="31">
        <v>-3076</v>
      </c>
      <c r="M204" s="33">
        <v>-3687.1539813634131</v>
      </c>
      <c r="N204" s="34"/>
      <c r="O204" s="31">
        <v>1002</v>
      </c>
      <c r="P204" s="37">
        <v>1.1986846493379109</v>
      </c>
      <c r="Q204" s="35">
        <v>1201.0820186365868</v>
      </c>
      <c r="R204" s="1" t="s">
        <v>0</v>
      </c>
    </row>
    <row r="205" spans="2:18" ht="13.5" x14ac:dyDescent="0.25">
      <c r="B205" s="16" t="s">
        <v>224</v>
      </c>
      <c r="C205" s="9" t="s">
        <v>470</v>
      </c>
      <c r="D205" s="9" t="s">
        <v>475</v>
      </c>
      <c r="E205" s="31">
        <v>13793</v>
      </c>
      <c r="F205" s="33">
        <v>1.151097149693856</v>
      </c>
      <c r="G205" s="33">
        <v>15877.082985727357</v>
      </c>
      <c r="H205" s="34"/>
      <c r="I205" s="31">
        <v>0</v>
      </c>
      <c r="J205" s="33">
        <v>0</v>
      </c>
      <c r="K205" s="34"/>
      <c r="L205" s="31">
        <v>-299</v>
      </c>
      <c r="M205" s="33">
        <v>-344.17804775846292</v>
      </c>
      <c r="N205" s="34"/>
      <c r="O205" s="31">
        <v>13494</v>
      </c>
      <c r="P205" s="37">
        <v>1.151097149693856</v>
      </c>
      <c r="Q205" s="35">
        <v>15532.904937968893</v>
      </c>
      <c r="R205" s="1" t="s">
        <v>0</v>
      </c>
    </row>
    <row r="206" spans="2:18" ht="13.5" x14ac:dyDescent="0.25">
      <c r="B206" s="16" t="s">
        <v>224</v>
      </c>
      <c r="C206" s="9" t="s">
        <v>471</v>
      </c>
      <c r="D206" s="9" t="s">
        <v>476</v>
      </c>
      <c r="E206" s="31">
        <v>37322</v>
      </c>
      <c r="F206" s="33">
        <v>1.2282</v>
      </c>
      <c r="G206" s="33">
        <v>45838.880400000002</v>
      </c>
      <c r="H206" s="34"/>
      <c r="I206" s="31">
        <v>0</v>
      </c>
      <c r="J206" s="33">
        <v>0</v>
      </c>
      <c r="K206" s="34"/>
      <c r="L206" s="31">
        <v>-2483</v>
      </c>
      <c r="M206" s="33">
        <v>-3049.6205999999997</v>
      </c>
      <c r="N206" s="34"/>
      <c r="O206" s="31">
        <v>34839</v>
      </c>
      <c r="P206" s="37">
        <v>1.2282</v>
      </c>
      <c r="Q206" s="35">
        <v>42789.2598</v>
      </c>
      <c r="R206" s="1" t="s">
        <v>0</v>
      </c>
    </row>
    <row r="207" spans="2:18" ht="13.5" x14ac:dyDescent="0.25">
      <c r="B207" s="16" t="s">
        <v>224</v>
      </c>
      <c r="C207" s="9" t="s">
        <v>472</v>
      </c>
      <c r="D207" s="9" t="s">
        <v>477</v>
      </c>
      <c r="E207" s="31">
        <v>2906</v>
      </c>
      <c r="F207" s="33">
        <v>1.4201547197284181</v>
      </c>
      <c r="G207" s="33">
        <v>4126.9696155307829</v>
      </c>
      <c r="H207" s="34"/>
      <c r="I207" s="31">
        <v>7500</v>
      </c>
      <c r="J207" s="33">
        <v>9675</v>
      </c>
      <c r="K207" s="34"/>
      <c r="L207" s="31">
        <v>-6911</v>
      </c>
      <c r="M207" s="33">
        <v>-9166.3859324364057</v>
      </c>
      <c r="N207" s="34"/>
      <c r="O207" s="31">
        <v>3495</v>
      </c>
      <c r="P207" s="37">
        <v>1.3263472626879478</v>
      </c>
      <c r="Q207" s="35">
        <v>4635.5836830943772</v>
      </c>
      <c r="R207" s="1" t="s">
        <v>0</v>
      </c>
    </row>
    <row r="208" spans="2:18" ht="13.5" x14ac:dyDescent="0.25">
      <c r="B208" s="16" t="s">
        <v>224</v>
      </c>
      <c r="C208" s="9" t="s">
        <v>473</v>
      </c>
      <c r="D208" s="9" t="s">
        <v>478</v>
      </c>
      <c r="E208" s="31">
        <v>0</v>
      </c>
      <c r="F208" s="33">
        <v>0</v>
      </c>
      <c r="G208" s="33">
        <v>0</v>
      </c>
      <c r="H208" s="34"/>
      <c r="I208" s="31">
        <v>0</v>
      </c>
      <c r="J208" s="33">
        <v>0</v>
      </c>
      <c r="K208" s="34"/>
      <c r="L208" s="31">
        <v>0</v>
      </c>
      <c r="M208" s="33">
        <v>0</v>
      </c>
      <c r="N208" s="34"/>
      <c r="O208" s="31">
        <v>0</v>
      </c>
      <c r="P208" s="37">
        <v>0</v>
      </c>
      <c r="Q208" s="35">
        <v>0</v>
      </c>
      <c r="R208" s="1" t="s">
        <v>0</v>
      </c>
    </row>
    <row r="209" spans="2:18" ht="13.5" x14ac:dyDescent="0.25">
      <c r="B209" s="16" t="s">
        <v>224</v>
      </c>
      <c r="C209" s="9" t="s">
        <v>485</v>
      </c>
      <c r="D209" s="9" t="s">
        <v>486</v>
      </c>
      <c r="E209" s="31">
        <v>0</v>
      </c>
      <c r="F209" s="33">
        <v>0</v>
      </c>
      <c r="G209" s="33">
        <v>0</v>
      </c>
      <c r="H209" s="34"/>
      <c r="I209" s="31">
        <v>0</v>
      </c>
      <c r="J209" s="33">
        <v>0</v>
      </c>
      <c r="K209" s="34"/>
      <c r="L209" s="31">
        <v>0</v>
      </c>
      <c r="M209" s="33">
        <v>0</v>
      </c>
      <c r="N209" s="34"/>
      <c r="O209" s="31">
        <v>0</v>
      </c>
      <c r="P209" s="37">
        <v>0</v>
      </c>
      <c r="Q209" s="35">
        <v>0</v>
      </c>
      <c r="R209" s="1" t="s">
        <v>0</v>
      </c>
    </row>
    <row r="210" spans="2:18" ht="13.5" x14ac:dyDescent="0.25">
      <c r="B210" s="16" t="s">
        <v>224</v>
      </c>
      <c r="C210" s="9" t="s">
        <v>582</v>
      </c>
      <c r="D210" s="9" t="s">
        <v>583</v>
      </c>
      <c r="E210" s="31">
        <v>0</v>
      </c>
      <c r="F210" s="33">
        <v>0</v>
      </c>
      <c r="G210" s="33">
        <v>0</v>
      </c>
      <c r="H210" s="34"/>
      <c r="I210" s="31">
        <v>64.260000000000005</v>
      </c>
      <c r="J210" s="33">
        <v>2756.75</v>
      </c>
      <c r="K210" s="34"/>
      <c r="L210" s="31">
        <v>0</v>
      </c>
      <c r="M210" s="33">
        <v>0</v>
      </c>
      <c r="N210" s="34"/>
      <c r="O210" s="31">
        <v>64.260000000000005</v>
      </c>
      <c r="P210" s="37">
        <v>42.899937752878927</v>
      </c>
      <c r="Q210" s="35">
        <v>2756.75</v>
      </c>
      <c r="R210" s="1" t="s">
        <v>0</v>
      </c>
    </row>
    <row r="211" spans="2:18" ht="13.5" x14ac:dyDescent="0.25">
      <c r="B211" s="16" t="s">
        <v>224</v>
      </c>
      <c r="C211" s="9" t="s">
        <v>558</v>
      </c>
      <c r="D211" s="9" t="s">
        <v>559</v>
      </c>
      <c r="E211" s="31">
        <v>0</v>
      </c>
      <c r="F211" s="33">
        <v>1.2190963341858483</v>
      </c>
      <c r="G211" s="33">
        <v>0</v>
      </c>
      <c r="H211" s="34"/>
      <c r="I211" s="31">
        <v>699.72</v>
      </c>
      <c r="J211" s="33">
        <v>30017.989999999998</v>
      </c>
      <c r="K211" s="34"/>
      <c r="L211" s="31">
        <v>-358.58000000000004</v>
      </c>
      <c r="M211" s="33">
        <v>-15383.083024924255</v>
      </c>
      <c r="N211" s="34"/>
      <c r="O211" s="31">
        <v>341.14</v>
      </c>
      <c r="P211" s="37">
        <v>42.900002858286165</v>
      </c>
      <c r="Q211" s="35">
        <v>14634.906975075743</v>
      </c>
      <c r="R211" s="1" t="s">
        <v>0</v>
      </c>
    </row>
    <row r="212" spans="2:18" ht="13.5" x14ac:dyDescent="0.25">
      <c r="B212" s="16" t="s">
        <v>224</v>
      </c>
      <c r="C212" s="9" t="s">
        <v>584</v>
      </c>
      <c r="D212" s="9" t="s">
        <v>585</v>
      </c>
      <c r="E212" s="31">
        <v>0</v>
      </c>
      <c r="F212" s="33">
        <v>0</v>
      </c>
      <c r="G212" s="33">
        <v>0</v>
      </c>
      <c r="H212" s="34"/>
      <c r="I212" s="31">
        <v>187.2</v>
      </c>
      <c r="J212" s="33">
        <v>8030.88</v>
      </c>
      <c r="K212" s="34"/>
      <c r="L212" s="31">
        <v>0</v>
      </c>
      <c r="M212" s="33">
        <v>0</v>
      </c>
      <c r="N212" s="34"/>
      <c r="O212" s="31">
        <v>187.2</v>
      </c>
      <c r="P212" s="37">
        <v>42.900000000000006</v>
      </c>
      <c r="Q212" s="35">
        <v>8030.88</v>
      </c>
      <c r="R212" s="1" t="s">
        <v>0</v>
      </c>
    </row>
    <row r="213" spans="2:18" ht="13.5" x14ac:dyDescent="0.25">
      <c r="B213" s="16" t="s">
        <v>224</v>
      </c>
      <c r="C213" s="9" t="s">
        <v>505</v>
      </c>
      <c r="D213" s="9" t="s">
        <v>512</v>
      </c>
      <c r="E213" s="31">
        <v>18050</v>
      </c>
      <c r="F213" s="33">
        <v>0.77</v>
      </c>
      <c r="G213" s="33">
        <v>13898.5</v>
      </c>
      <c r="H213" s="34"/>
      <c r="I213" s="31">
        <v>0</v>
      </c>
      <c r="J213" s="33">
        <v>0</v>
      </c>
      <c r="K213" s="34"/>
      <c r="L213" s="31">
        <v>0</v>
      </c>
      <c r="M213" s="33">
        <v>0</v>
      </c>
      <c r="N213" s="34"/>
      <c r="O213" s="31">
        <v>18050</v>
      </c>
      <c r="P213" s="37">
        <v>0.77</v>
      </c>
      <c r="Q213" s="35">
        <v>13898.5</v>
      </c>
      <c r="R213" s="1" t="s">
        <v>521</v>
      </c>
    </row>
    <row r="214" spans="2:18" ht="13.5" x14ac:dyDescent="0.25">
      <c r="B214" s="16" t="s">
        <v>224</v>
      </c>
      <c r="C214" s="9" t="s">
        <v>506</v>
      </c>
      <c r="D214" s="9" t="s">
        <v>513</v>
      </c>
      <c r="E214" s="31">
        <v>10834</v>
      </c>
      <c r="F214" s="33">
        <v>2.7206948757763976</v>
      </c>
      <c r="G214" s="33">
        <v>29476.008284161493</v>
      </c>
      <c r="H214" s="34"/>
      <c r="I214" s="31">
        <v>0</v>
      </c>
      <c r="J214" s="33">
        <v>0</v>
      </c>
      <c r="K214" s="34"/>
      <c r="L214" s="31">
        <v>-10834</v>
      </c>
      <c r="M214" s="33">
        <v>-29476.008284161493</v>
      </c>
      <c r="N214" s="34"/>
      <c r="O214" s="31">
        <v>0</v>
      </c>
      <c r="P214" s="37">
        <v>2.7206948757763976</v>
      </c>
      <c r="Q214" s="35">
        <v>0</v>
      </c>
      <c r="R214" s="1" t="s">
        <v>521</v>
      </c>
    </row>
    <row r="215" spans="2:18" ht="13.5" x14ac:dyDescent="0.25">
      <c r="B215" s="16" t="s">
        <v>224</v>
      </c>
      <c r="C215" s="9" t="s">
        <v>507</v>
      </c>
      <c r="D215" s="9" t="s">
        <v>681</v>
      </c>
      <c r="E215" s="31">
        <v>5500</v>
      </c>
      <c r="F215" s="33">
        <v>0.21217518713269412</v>
      </c>
      <c r="G215" s="33">
        <v>1166.9635292298176</v>
      </c>
      <c r="H215" s="34"/>
      <c r="I215" s="31">
        <v>0</v>
      </c>
      <c r="J215" s="33">
        <v>0</v>
      </c>
      <c r="K215" s="34"/>
      <c r="L215" s="31">
        <v>-5500</v>
      </c>
      <c r="M215" s="33">
        <v>-1166.9635292298176</v>
      </c>
      <c r="N215" s="34"/>
      <c r="O215" s="31">
        <v>0</v>
      </c>
      <c r="P215" s="37">
        <v>0.21217518713269412</v>
      </c>
      <c r="Q215" s="35">
        <v>0</v>
      </c>
      <c r="R215" s="1" t="s">
        <v>521</v>
      </c>
    </row>
    <row r="216" spans="2:18" ht="13.5" x14ac:dyDescent="0.25">
      <c r="B216" s="16" t="s">
        <v>224</v>
      </c>
      <c r="C216" s="9" t="s">
        <v>556</v>
      </c>
      <c r="D216" s="9" t="s">
        <v>557</v>
      </c>
      <c r="E216" s="31">
        <v>17779</v>
      </c>
      <c r="F216" s="33">
        <v>1.25115</v>
      </c>
      <c r="G216" s="33">
        <v>22244.19585</v>
      </c>
      <c r="H216" s="34"/>
      <c r="I216" s="31">
        <v>15000</v>
      </c>
      <c r="J216" s="33">
        <v>19350</v>
      </c>
      <c r="K216" s="34"/>
      <c r="L216" s="31">
        <v>-10695</v>
      </c>
      <c r="M216" s="33">
        <v>-13571.186571150738</v>
      </c>
      <c r="N216" s="34"/>
      <c r="O216" s="31">
        <v>22084</v>
      </c>
      <c r="P216" s="37">
        <v>1.2689281506452303</v>
      </c>
      <c r="Q216" s="35">
        <v>28023.009278849266</v>
      </c>
      <c r="R216" s="1" t="s">
        <v>0</v>
      </c>
    </row>
    <row r="217" spans="2:18" ht="13.5" x14ac:dyDescent="0.25">
      <c r="B217" s="16" t="s">
        <v>224</v>
      </c>
      <c r="C217" s="9" t="s">
        <v>508</v>
      </c>
      <c r="D217" s="9" t="s">
        <v>514</v>
      </c>
      <c r="E217" s="31">
        <v>30856</v>
      </c>
      <c r="F217" s="33">
        <v>0.80601640754496939</v>
      </c>
      <c r="G217" s="33">
        <v>24870.442271207576</v>
      </c>
      <c r="H217" s="34"/>
      <c r="I217" s="31">
        <v>50000</v>
      </c>
      <c r="J217" s="33">
        <v>64500</v>
      </c>
      <c r="K217" s="34"/>
      <c r="L217" s="31">
        <v>-30601</v>
      </c>
      <c r="M217" s="33">
        <v>-33823.400909533288</v>
      </c>
      <c r="N217" s="34"/>
      <c r="O217" s="31">
        <v>50255</v>
      </c>
      <c r="P217" s="37">
        <v>1.1053037779658599</v>
      </c>
      <c r="Q217" s="35">
        <v>55547.041361674288</v>
      </c>
      <c r="R217" s="1" t="s">
        <v>0</v>
      </c>
    </row>
    <row r="218" spans="2:18" ht="13.5" x14ac:dyDescent="0.25">
      <c r="B218" s="16" t="s">
        <v>224</v>
      </c>
      <c r="C218" s="9" t="s">
        <v>509</v>
      </c>
      <c r="D218" s="9" t="s">
        <v>515</v>
      </c>
      <c r="E218" s="31">
        <v>13804</v>
      </c>
      <c r="F218" s="33">
        <v>0.69494999376947042</v>
      </c>
      <c r="G218" s="33">
        <v>9593.0897139937697</v>
      </c>
      <c r="H218" s="34"/>
      <c r="I218" s="31">
        <v>0</v>
      </c>
      <c r="J218" s="33">
        <v>0</v>
      </c>
      <c r="K218" s="34"/>
      <c r="L218" s="31">
        <v>0</v>
      </c>
      <c r="M218" s="33">
        <v>0</v>
      </c>
      <c r="N218" s="34"/>
      <c r="O218" s="31">
        <v>13804</v>
      </c>
      <c r="P218" s="37">
        <v>0.69494999376947042</v>
      </c>
      <c r="Q218" s="35">
        <v>9593.0897139937697</v>
      </c>
      <c r="R218" s="1" t="s">
        <v>521</v>
      </c>
    </row>
    <row r="219" spans="2:18" ht="13.5" x14ac:dyDescent="0.25">
      <c r="B219" s="16" t="s">
        <v>224</v>
      </c>
      <c r="C219" s="9" t="s">
        <v>554</v>
      </c>
      <c r="D219" s="9" t="s">
        <v>555</v>
      </c>
      <c r="E219" s="31">
        <v>0</v>
      </c>
      <c r="F219" s="33">
        <v>42.9</v>
      </c>
      <c r="G219" s="33">
        <v>0</v>
      </c>
      <c r="H219" s="34"/>
      <c r="I219" s="31">
        <v>89.32</v>
      </c>
      <c r="J219" s="33">
        <v>3831.83</v>
      </c>
      <c r="K219" s="34"/>
      <c r="L219" s="31">
        <v>-8.9199999999999875</v>
      </c>
      <c r="M219" s="33">
        <v>-382.66819973130265</v>
      </c>
      <c r="N219" s="34"/>
      <c r="O219" s="31">
        <v>80.400000000000006</v>
      </c>
      <c r="P219" s="37">
        <v>42.900022391401706</v>
      </c>
      <c r="Q219" s="35">
        <v>3449.1618002686973</v>
      </c>
      <c r="R219" s="1" t="s">
        <v>521</v>
      </c>
    </row>
    <row r="220" spans="2:18" ht="13.5" x14ac:dyDescent="0.25">
      <c r="B220" s="16" t="s">
        <v>225</v>
      </c>
      <c r="C220" s="9" t="s">
        <v>59</v>
      </c>
      <c r="D220" s="9" t="s">
        <v>140</v>
      </c>
      <c r="E220" s="31">
        <v>7511.08</v>
      </c>
      <c r="F220" s="33">
        <v>188.52739623838198</v>
      </c>
      <c r="G220" s="33">
        <v>1416044.355338186</v>
      </c>
      <c r="H220" s="34"/>
      <c r="I220" s="31">
        <v>6000</v>
      </c>
      <c r="J220" s="33">
        <v>1109515.78</v>
      </c>
      <c r="K220" s="34"/>
      <c r="L220" s="31">
        <v>-5999.61</v>
      </c>
      <c r="M220" s="33">
        <v>-1121477.7681411356</v>
      </c>
      <c r="N220" s="34"/>
      <c r="O220" s="31">
        <v>7511.47</v>
      </c>
      <c r="P220" s="37">
        <v>186.92511148910276</v>
      </c>
      <c r="Q220" s="35">
        <v>1404082.3671970507</v>
      </c>
      <c r="R220" s="1" t="s">
        <v>521</v>
      </c>
    </row>
    <row r="221" spans="2:18" ht="13.5" x14ac:dyDescent="0.25">
      <c r="B221" s="16" t="s">
        <v>225</v>
      </c>
      <c r="C221" s="9" t="s">
        <v>60</v>
      </c>
      <c r="D221" s="9" t="s">
        <v>373</v>
      </c>
      <c r="E221" s="31">
        <v>1355.96</v>
      </c>
      <c r="F221" s="33">
        <v>0.27341297401829184</v>
      </c>
      <c r="G221" s="33">
        <v>370.73705624984302</v>
      </c>
      <c r="H221" s="34"/>
      <c r="I221" s="31">
        <v>1</v>
      </c>
      <c r="J221" s="33">
        <v>293.37</v>
      </c>
      <c r="K221" s="34"/>
      <c r="L221" s="31">
        <v>-356.96000000000004</v>
      </c>
      <c r="M221" s="33">
        <v>-174.69907351649567</v>
      </c>
      <c r="N221" s="34"/>
      <c r="O221" s="31">
        <v>1000</v>
      </c>
      <c r="P221" s="37">
        <v>0.48940798273334735</v>
      </c>
      <c r="Q221" s="35">
        <v>489.40798273334735</v>
      </c>
      <c r="R221" s="1" t="s">
        <v>521</v>
      </c>
    </row>
    <row r="222" spans="2:18" ht="13.5" x14ac:dyDescent="0.25">
      <c r="B222" s="16" t="s">
        <v>225</v>
      </c>
      <c r="C222" s="9" t="s">
        <v>61</v>
      </c>
      <c r="D222" s="9" t="s">
        <v>374</v>
      </c>
      <c r="E222" s="31">
        <v>1110.81</v>
      </c>
      <c r="F222" s="33">
        <v>33.994060259637735</v>
      </c>
      <c r="G222" s="33">
        <v>37760.942077008192</v>
      </c>
      <c r="H222" s="34"/>
      <c r="I222" s="31">
        <v>750</v>
      </c>
      <c r="J222" s="33">
        <v>22138.799999999999</v>
      </c>
      <c r="K222" s="34"/>
      <c r="L222" s="31">
        <v>-395.19999999999982</v>
      </c>
      <c r="M222" s="33">
        <v>-12721.544955601932</v>
      </c>
      <c r="N222" s="34"/>
      <c r="O222" s="31">
        <v>1465.6100000000001</v>
      </c>
      <c r="P222" s="37">
        <v>32.190144118425955</v>
      </c>
      <c r="Q222" s="35">
        <v>47178.197121406265</v>
      </c>
      <c r="R222" s="1" t="s">
        <v>521</v>
      </c>
    </row>
    <row r="223" spans="2:18" ht="13.5" x14ac:dyDescent="0.25">
      <c r="B223" s="16" t="s">
        <v>225</v>
      </c>
      <c r="C223" s="9" t="s">
        <v>62</v>
      </c>
      <c r="D223" s="9" t="s">
        <v>141</v>
      </c>
      <c r="E223" s="31">
        <v>76039.66</v>
      </c>
      <c r="F223" s="33">
        <v>0.27460664031039617</v>
      </c>
      <c r="G223" s="33">
        <v>20880.99556294482</v>
      </c>
      <c r="H223" s="34"/>
      <c r="I223" s="31">
        <v>40000</v>
      </c>
      <c r="J223" s="33">
        <v>3586.64</v>
      </c>
      <c r="K223" s="34"/>
      <c r="L223" s="31">
        <v>-6045.9900000000052</v>
      </c>
      <c r="M223" s="33">
        <v>-1274.8320698044865</v>
      </c>
      <c r="N223" s="34"/>
      <c r="O223" s="31">
        <v>109993.67</v>
      </c>
      <c r="P223" s="37">
        <v>0.21085580191242215</v>
      </c>
      <c r="Q223" s="35">
        <v>23192.803493140331</v>
      </c>
      <c r="R223" s="1" t="s">
        <v>521</v>
      </c>
    </row>
    <row r="224" spans="2:18" ht="13.5" x14ac:dyDescent="0.25">
      <c r="B224" s="16" t="s">
        <v>225</v>
      </c>
      <c r="C224" s="9" t="s">
        <v>63</v>
      </c>
      <c r="D224" s="9" t="s">
        <v>375</v>
      </c>
      <c r="E224" s="31">
        <v>0</v>
      </c>
      <c r="F224" s="33">
        <v>0</v>
      </c>
      <c r="G224" s="33">
        <v>0</v>
      </c>
      <c r="H224" s="34"/>
      <c r="I224" s="31">
        <v>0</v>
      </c>
      <c r="J224" s="33">
        <v>0</v>
      </c>
      <c r="K224" s="34"/>
      <c r="L224" s="31">
        <v>0</v>
      </c>
      <c r="M224" s="33">
        <v>0</v>
      </c>
      <c r="N224" s="34"/>
      <c r="O224" s="31">
        <v>0</v>
      </c>
      <c r="P224" s="37">
        <v>0</v>
      </c>
      <c r="Q224" s="35">
        <v>0</v>
      </c>
      <c r="R224" s="1" t="s">
        <v>0</v>
      </c>
    </row>
    <row r="225" spans="2:24" ht="13.5" x14ac:dyDescent="0.25">
      <c r="B225" s="16" t="s">
        <v>225</v>
      </c>
      <c r="C225" s="9" t="s">
        <v>64</v>
      </c>
      <c r="D225" s="9" t="s">
        <v>197</v>
      </c>
      <c r="E225" s="31">
        <v>1818.4299999999998</v>
      </c>
      <c r="F225" s="33">
        <v>0.85043111133147964</v>
      </c>
      <c r="G225" s="33">
        <v>1546.4494457785024</v>
      </c>
      <c r="H225" s="34"/>
      <c r="I225" s="31">
        <v>0</v>
      </c>
      <c r="J225" s="33">
        <v>0</v>
      </c>
      <c r="K225" s="34"/>
      <c r="L225" s="31">
        <v>-568.02999999999975</v>
      </c>
      <c r="M225" s="33">
        <v>-483.07038416962018</v>
      </c>
      <c r="N225" s="34"/>
      <c r="O225" s="31">
        <v>1250.4000000000001</v>
      </c>
      <c r="P225" s="37">
        <v>0.85043111133147964</v>
      </c>
      <c r="Q225" s="35">
        <v>1063.3790616088822</v>
      </c>
      <c r="R225" s="1" t="s">
        <v>521</v>
      </c>
    </row>
    <row r="226" spans="2:24" ht="13.5" x14ac:dyDescent="0.25">
      <c r="B226" s="16" t="s">
        <v>225</v>
      </c>
      <c r="C226" s="9" t="s">
        <v>65</v>
      </c>
      <c r="D226" s="9" t="s">
        <v>198</v>
      </c>
      <c r="E226" s="31">
        <v>3963.1099999999983</v>
      </c>
      <c r="F226" s="33">
        <v>0.14016649724168256</v>
      </c>
      <c r="G226" s="33">
        <v>555.49524688348436</v>
      </c>
      <c r="H226" s="34"/>
      <c r="I226" s="31">
        <v>0</v>
      </c>
      <c r="J226" s="33">
        <v>0</v>
      </c>
      <c r="K226" s="34"/>
      <c r="L226" s="31">
        <v>-1209.5299999999984</v>
      </c>
      <c r="M226" s="33">
        <v>-169.53558340873209</v>
      </c>
      <c r="N226" s="34"/>
      <c r="O226" s="31">
        <v>2753.58</v>
      </c>
      <c r="P226" s="37">
        <v>0.14016649724168256</v>
      </c>
      <c r="Q226" s="35">
        <v>385.95966347475223</v>
      </c>
      <c r="R226" s="1" t="s">
        <v>521</v>
      </c>
    </row>
    <row r="227" spans="2:24" ht="13.5" x14ac:dyDescent="0.25">
      <c r="B227" s="16" t="s">
        <v>225</v>
      </c>
      <c r="C227" s="9" t="s">
        <v>66</v>
      </c>
      <c r="D227" s="9" t="s">
        <v>163</v>
      </c>
      <c r="E227" s="31">
        <v>133427.1</v>
      </c>
      <c r="F227" s="33">
        <v>8.2156393070576178E-2</v>
      </c>
      <c r="G227" s="33">
        <v>10961.889273867075</v>
      </c>
      <c r="H227" s="34"/>
      <c r="I227" s="31">
        <v>0</v>
      </c>
      <c r="J227" s="33">
        <v>0</v>
      </c>
      <c r="K227" s="34"/>
      <c r="L227" s="31">
        <v>-5560.6070000000036</v>
      </c>
      <c r="M227" s="33">
        <v>-456.8394144029977</v>
      </c>
      <c r="N227" s="34"/>
      <c r="O227" s="31">
        <v>127866.493</v>
      </c>
      <c r="P227" s="37">
        <v>8.2156393070576178E-2</v>
      </c>
      <c r="Q227" s="35">
        <v>10505.049859464078</v>
      </c>
      <c r="R227" s="1" t="s">
        <v>521</v>
      </c>
    </row>
    <row r="228" spans="2:24" ht="13.5" x14ac:dyDescent="0.25">
      <c r="B228" s="16" t="s">
        <v>225</v>
      </c>
      <c r="C228" s="9" t="s">
        <v>208</v>
      </c>
      <c r="D228" s="9" t="s">
        <v>376</v>
      </c>
      <c r="E228" s="31">
        <v>19237.440000000002</v>
      </c>
      <c r="F228" s="33">
        <v>0.32522700741738675</v>
      </c>
      <c r="G228" s="33">
        <v>6256.5350415715329</v>
      </c>
      <c r="H228" s="34"/>
      <c r="I228" s="31">
        <v>10000</v>
      </c>
      <c r="J228" s="33">
        <v>752</v>
      </c>
      <c r="K228" s="34"/>
      <c r="L228" s="31">
        <v>-8991.6000000000022</v>
      </c>
      <c r="M228" s="33">
        <v>-2155.385139047557</v>
      </c>
      <c r="N228" s="34"/>
      <c r="O228" s="31">
        <v>20245.84</v>
      </c>
      <c r="P228" s="37">
        <v>0.23971096790866545</v>
      </c>
      <c r="Q228" s="35">
        <v>4853.1499025239755</v>
      </c>
      <c r="R228" s="1" t="s">
        <v>521</v>
      </c>
    </row>
    <row r="229" spans="2:24" ht="13.5" x14ac:dyDescent="0.25">
      <c r="B229" s="16" t="s">
        <v>225</v>
      </c>
      <c r="C229" s="9" t="s">
        <v>489</v>
      </c>
      <c r="D229" s="9" t="s">
        <v>490</v>
      </c>
      <c r="E229" s="31">
        <v>270.62000000000023</v>
      </c>
      <c r="F229" s="33">
        <v>0</v>
      </c>
      <c r="G229" s="33">
        <v>0</v>
      </c>
      <c r="H229" s="34"/>
      <c r="I229" s="31">
        <v>0</v>
      </c>
      <c r="J229" s="33">
        <v>0</v>
      </c>
      <c r="K229" s="34"/>
      <c r="L229" s="31">
        <v>-2.2737367544323206E-13</v>
      </c>
      <c r="M229" s="33">
        <v>0</v>
      </c>
      <c r="N229" s="34"/>
      <c r="O229" s="31">
        <v>270.62</v>
      </c>
      <c r="P229" s="37">
        <v>0</v>
      </c>
      <c r="Q229" s="35">
        <v>0</v>
      </c>
      <c r="R229" s="1" t="s">
        <v>0</v>
      </c>
    </row>
    <row r="230" spans="2:24" ht="13.5" x14ac:dyDescent="0.25">
      <c r="B230" s="16" t="s">
        <v>225</v>
      </c>
      <c r="C230" s="9" t="s">
        <v>570</v>
      </c>
      <c r="D230" s="9" t="s">
        <v>571</v>
      </c>
      <c r="E230" s="31">
        <v>7000</v>
      </c>
      <c r="F230" s="33">
        <v>22.818352857142852</v>
      </c>
      <c r="G230" s="33">
        <v>159728.46999999997</v>
      </c>
      <c r="H230" s="34"/>
      <c r="I230" s="31">
        <v>0</v>
      </c>
      <c r="J230" s="33">
        <v>0</v>
      </c>
      <c r="K230" s="34"/>
      <c r="L230" s="31">
        <v>-3300</v>
      </c>
      <c r="M230" s="33">
        <v>-75300.564428571408</v>
      </c>
      <c r="N230" s="34"/>
      <c r="O230" s="31">
        <v>3700</v>
      </c>
      <c r="P230" s="37">
        <v>22.818352857142855</v>
      </c>
      <c r="Q230" s="35">
        <v>84427.905571428564</v>
      </c>
      <c r="R230" s="1" t="s">
        <v>0</v>
      </c>
    </row>
    <row r="231" spans="2:24" x14ac:dyDescent="0.2">
      <c r="B231" s="16" t="s">
        <v>226</v>
      </c>
      <c r="C231" s="9" t="s">
        <v>20</v>
      </c>
      <c r="D231" s="9" t="s">
        <v>377</v>
      </c>
      <c r="E231" s="31">
        <v>0</v>
      </c>
      <c r="F231" s="33">
        <v>0</v>
      </c>
      <c r="G231" s="33">
        <v>0</v>
      </c>
      <c r="H231" s="34"/>
      <c r="I231" s="31">
        <v>0</v>
      </c>
      <c r="J231" s="33">
        <v>0</v>
      </c>
      <c r="K231" s="34"/>
      <c r="L231" s="31">
        <v>0</v>
      </c>
      <c r="M231" s="33">
        <v>0</v>
      </c>
      <c r="N231" s="34"/>
      <c r="O231" s="31">
        <v>0</v>
      </c>
      <c r="P231" s="37">
        <v>0</v>
      </c>
      <c r="Q231" s="35">
        <v>0</v>
      </c>
      <c r="R231" s="3" t="e">
        <v>#N/A</v>
      </c>
    </row>
    <row r="232" spans="2:24" x14ac:dyDescent="0.2">
      <c r="B232" s="16" t="s">
        <v>226</v>
      </c>
      <c r="C232" s="9" t="s">
        <v>21</v>
      </c>
      <c r="D232" s="9" t="s">
        <v>378</v>
      </c>
      <c r="E232" s="31">
        <v>0</v>
      </c>
      <c r="F232" s="33">
        <v>0</v>
      </c>
      <c r="G232" s="33">
        <v>0</v>
      </c>
      <c r="H232" s="34"/>
      <c r="I232" s="31">
        <v>0</v>
      </c>
      <c r="J232" s="33">
        <v>0</v>
      </c>
      <c r="K232" s="34"/>
      <c r="L232" s="31">
        <v>0</v>
      </c>
      <c r="M232" s="33">
        <v>0</v>
      </c>
      <c r="N232" s="34"/>
      <c r="O232" s="31">
        <v>0</v>
      </c>
      <c r="P232" s="37">
        <v>0</v>
      </c>
      <c r="Q232" s="35">
        <v>0</v>
      </c>
      <c r="R232" s="3" t="e">
        <v>#N/A</v>
      </c>
    </row>
    <row r="233" spans="2:24" ht="13.5" x14ac:dyDescent="0.25">
      <c r="B233" s="16" t="s">
        <v>226</v>
      </c>
      <c r="C233" s="9" t="s">
        <v>22</v>
      </c>
      <c r="D233" s="9" t="s">
        <v>379</v>
      </c>
      <c r="E233" s="31">
        <v>0</v>
      </c>
      <c r="F233" s="33">
        <v>0</v>
      </c>
      <c r="G233" s="33">
        <v>0</v>
      </c>
      <c r="H233" s="34"/>
      <c r="I233" s="31">
        <v>0</v>
      </c>
      <c r="J233" s="33">
        <v>0</v>
      </c>
      <c r="K233" s="34"/>
      <c r="L233" s="31">
        <v>0</v>
      </c>
      <c r="M233" s="33">
        <v>0</v>
      </c>
      <c r="N233" s="34"/>
      <c r="O233" s="31">
        <v>0</v>
      </c>
      <c r="P233" s="37">
        <v>0</v>
      </c>
      <c r="Q233" s="35">
        <v>0</v>
      </c>
      <c r="R233" s="3" t="e">
        <v>#N/A</v>
      </c>
      <c r="S233" s="26" t="s">
        <v>502</v>
      </c>
      <c r="T233" s="27" t="s">
        <v>518</v>
      </c>
      <c r="U233" s="24" t="s">
        <v>573</v>
      </c>
      <c r="V233" s="27" t="s">
        <v>516</v>
      </c>
      <c r="W233" s="27" t="s">
        <v>464</v>
      </c>
      <c r="X233" s="27" t="s">
        <v>517</v>
      </c>
    </row>
    <row r="234" spans="2:24" ht="13.5" x14ac:dyDescent="0.25">
      <c r="B234" s="16" t="s">
        <v>226</v>
      </c>
      <c r="C234" s="9" t="s">
        <v>23</v>
      </c>
      <c r="D234" s="9" t="s">
        <v>380</v>
      </c>
      <c r="E234" s="31">
        <v>480</v>
      </c>
      <c r="F234" s="33">
        <v>86.225343416813175</v>
      </c>
      <c r="G234" s="33">
        <v>41388.164840070327</v>
      </c>
      <c r="H234" s="34"/>
      <c r="I234" s="31">
        <v>0</v>
      </c>
      <c r="J234" s="33">
        <v>0</v>
      </c>
      <c r="K234" s="34"/>
      <c r="L234" s="31">
        <v>-480</v>
      </c>
      <c r="M234" s="33">
        <v>-41388.164840070327</v>
      </c>
      <c r="N234" s="34"/>
      <c r="O234" s="31">
        <v>0</v>
      </c>
      <c r="P234" s="37">
        <v>86.225343416813175</v>
      </c>
      <c r="Q234" s="35">
        <v>0</v>
      </c>
      <c r="R234" s="3" t="e">
        <v>#N/A</v>
      </c>
      <c r="S234" s="25">
        <v>601</v>
      </c>
      <c r="T234" s="25">
        <v>514</v>
      </c>
      <c r="U234" s="25"/>
      <c r="V234" s="25">
        <v>-87</v>
      </c>
      <c r="W234" s="25">
        <v>552</v>
      </c>
      <c r="X234" s="25">
        <v>38</v>
      </c>
    </row>
    <row r="235" spans="2:24" ht="13.5" x14ac:dyDescent="0.25">
      <c r="B235" s="16" t="s">
        <v>226</v>
      </c>
      <c r="C235" s="9" t="s">
        <v>24</v>
      </c>
      <c r="D235" s="9" t="s">
        <v>381</v>
      </c>
      <c r="E235" s="31">
        <v>6222</v>
      </c>
      <c r="F235" s="33">
        <v>78.747663480732797</v>
      </c>
      <c r="G235" s="33">
        <v>489967.96217711945</v>
      </c>
      <c r="H235" s="34"/>
      <c r="I235" s="31">
        <v>10533</v>
      </c>
      <c r="J235" s="33">
        <v>878030.69007867097</v>
      </c>
      <c r="K235" s="34"/>
      <c r="L235" s="31">
        <v>-6850</v>
      </c>
      <c r="M235" s="33">
        <v>-559283.24487926974</v>
      </c>
      <c r="N235" s="34"/>
      <c r="O235" s="31">
        <v>9905</v>
      </c>
      <c r="P235" s="37">
        <v>82.915101810847517</v>
      </c>
      <c r="Q235" s="35">
        <v>821274.08343644463</v>
      </c>
      <c r="R235" s="3" t="e">
        <v>#N/A</v>
      </c>
      <c r="S235" s="25">
        <v>4915</v>
      </c>
      <c r="T235" s="25">
        <v>14820</v>
      </c>
      <c r="U235" s="25"/>
      <c r="V235" s="25">
        <v>9905</v>
      </c>
      <c r="W235" s="25">
        <v>15061</v>
      </c>
      <c r="X235" s="25">
        <v>241</v>
      </c>
    </row>
    <row r="236" spans="2:24" ht="13.5" x14ac:dyDescent="0.25">
      <c r="B236" s="16" t="s">
        <v>226</v>
      </c>
      <c r="C236" s="9" t="s">
        <v>25</v>
      </c>
      <c r="D236" s="9" t="s">
        <v>382</v>
      </c>
      <c r="E236" s="31">
        <v>32318</v>
      </c>
      <c r="F236" s="33">
        <v>78.763839678782261</v>
      </c>
      <c r="G236" s="33">
        <v>2545489.7707388853</v>
      </c>
      <c r="H236" s="34"/>
      <c r="I236" s="31">
        <v>40557</v>
      </c>
      <c r="J236" s="33">
        <v>3680533.8284067721</v>
      </c>
      <c r="K236" s="34"/>
      <c r="L236" s="31">
        <v>-25859</v>
      </c>
      <c r="M236" s="33">
        <v>-2209245.2041208586</v>
      </c>
      <c r="N236" s="34"/>
      <c r="O236" s="31">
        <v>47016</v>
      </c>
      <c r="P236" s="37">
        <v>85.434286094623076</v>
      </c>
      <c r="Q236" s="35">
        <v>4016778.3950247988</v>
      </c>
      <c r="R236" s="3" t="e">
        <v>#N/A</v>
      </c>
      <c r="S236" s="25">
        <v>20322</v>
      </c>
      <c r="T236" s="25">
        <v>43224</v>
      </c>
      <c r="U236" s="25">
        <v>24114</v>
      </c>
      <c r="V236" s="25">
        <v>47016</v>
      </c>
      <c r="W236" s="25">
        <v>67405</v>
      </c>
      <c r="X236" s="25">
        <v>67</v>
      </c>
    </row>
    <row r="237" spans="2:24" ht="13.5" x14ac:dyDescent="0.25">
      <c r="B237" s="16" t="s">
        <v>226</v>
      </c>
      <c r="C237" s="9" t="s">
        <v>210</v>
      </c>
      <c r="D237" s="9" t="s">
        <v>383</v>
      </c>
      <c r="E237" s="31">
        <v>17290</v>
      </c>
      <c r="F237" s="33">
        <v>81.038699274143823</v>
      </c>
      <c r="G237" s="33">
        <v>1401159.1104499467</v>
      </c>
      <c r="H237" s="34"/>
      <c r="I237" s="31">
        <v>6699</v>
      </c>
      <c r="J237" s="33">
        <v>667405.50614824053</v>
      </c>
      <c r="K237" s="34"/>
      <c r="L237" s="31">
        <v>-3593</v>
      </c>
      <c r="M237" s="33">
        <v>-309823.36351816612</v>
      </c>
      <c r="N237" s="34"/>
      <c r="O237" s="31">
        <v>20396</v>
      </c>
      <c r="P237" s="37">
        <v>86.229714310650181</v>
      </c>
      <c r="Q237" s="35">
        <v>1758741.2530800211</v>
      </c>
      <c r="R237" s="3" t="e">
        <v>#N/A</v>
      </c>
      <c r="S237" s="25">
        <v>4511</v>
      </c>
      <c r="T237" s="25">
        <v>24907</v>
      </c>
      <c r="U237" s="25"/>
      <c r="V237" s="25">
        <v>20396</v>
      </c>
      <c r="W237" s="25">
        <v>24953</v>
      </c>
      <c r="X237" s="25">
        <v>46</v>
      </c>
    </row>
    <row r="238" spans="2:24" ht="13.5" x14ac:dyDescent="0.25">
      <c r="B238" s="16" t="s">
        <v>226</v>
      </c>
      <c r="C238" s="9" t="s">
        <v>523</v>
      </c>
      <c r="D238" s="9" t="s">
        <v>682</v>
      </c>
      <c r="E238" s="31">
        <v>2070</v>
      </c>
      <c r="F238" s="33">
        <v>52.632492115703279</v>
      </c>
      <c r="G238" s="33">
        <v>108949.25867950579</v>
      </c>
      <c r="H238" s="34"/>
      <c r="I238" s="31">
        <v>0</v>
      </c>
      <c r="J238" s="33">
        <v>0</v>
      </c>
      <c r="K238" s="34"/>
      <c r="L238" s="31">
        <v>0</v>
      </c>
      <c r="M238" s="33">
        <v>0</v>
      </c>
      <c r="N238" s="34"/>
      <c r="O238" s="31">
        <v>2070</v>
      </c>
      <c r="P238" s="37">
        <v>52.632492115703279</v>
      </c>
      <c r="Q238" s="35">
        <v>108949.25867950579</v>
      </c>
      <c r="R238" s="3" t="e">
        <v>#N/A</v>
      </c>
      <c r="S238" s="25">
        <v>0</v>
      </c>
      <c r="T238" s="25">
        <v>2070</v>
      </c>
      <c r="U238" s="25"/>
      <c r="V238" s="25">
        <v>2070</v>
      </c>
      <c r="W238" s="25">
        <v>2070</v>
      </c>
      <c r="X238" s="25">
        <v>0</v>
      </c>
    </row>
    <row r="239" spans="2:24" ht="13.5" x14ac:dyDescent="0.25">
      <c r="B239" s="16" t="s">
        <v>226</v>
      </c>
      <c r="C239" s="9" t="s">
        <v>572</v>
      </c>
      <c r="D239" s="9" t="s">
        <v>683</v>
      </c>
      <c r="E239" s="31">
        <v>3063</v>
      </c>
      <c r="F239" s="33">
        <v>75.072020947203882</v>
      </c>
      <c r="G239" s="33">
        <v>229945.60016128549</v>
      </c>
      <c r="H239" s="34"/>
      <c r="I239" s="31">
        <v>0</v>
      </c>
      <c r="J239" s="33">
        <v>0</v>
      </c>
      <c r="K239" s="34"/>
      <c r="L239" s="31">
        <v>-2</v>
      </c>
      <c r="M239" s="33">
        <v>-150.14404189440776</v>
      </c>
      <c r="N239" s="34"/>
      <c r="O239" s="31">
        <v>3061</v>
      </c>
      <c r="P239" s="37">
        <v>75.072020947203882</v>
      </c>
      <c r="Q239" s="35">
        <v>229795.45611939108</v>
      </c>
      <c r="R239" s="3" t="e">
        <v>#N/A</v>
      </c>
      <c r="S239" s="25">
        <v>0</v>
      </c>
      <c r="T239" s="25">
        <v>3061</v>
      </c>
      <c r="U239" s="25"/>
      <c r="V239" s="25">
        <v>3061</v>
      </c>
      <c r="W239" s="25">
        <v>3061</v>
      </c>
      <c r="X239" s="25">
        <v>0</v>
      </c>
    </row>
    <row r="240" spans="2:24" ht="13.5" x14ac:dyDescent="0.25">
      <c r="B240" s="16" t="s">
        <v>226</v>
      </c>
      <c r="C240" s="9" t="s">
        <v>479</v>
      </c>
      <c r="D240" s="9" t="s">
        <v>480</v>
      </c>
      <c r="E240" s="31">
        <v>19055</v>
      </c>
      <c r="F240" s="33">
        <v>66.91459073189786</v>
      </c>
      <c r="G240" s="33">
        <v>1275057.5263963137</v>
      </c>
      <c r="H240" s="34"/>
      <c r="I240" s="31">
        <v>0</v>
      </c>
      <c r="J240" s="33">
        <v>0</v>
      </c>
      <c r="K240" s="34"/>
      <c r="L240" s="31">
        <v>-1978</v>
      </c>
      <c r="M240" s="33">
        <v>-132357.06046769395</v>
      </c>
      <c r="N240" s="34"/>
      <c r="O240" s="31">
        <v>17077</v>
      </c>
      <c r="P240" s="37">
        <v>66.91459073189786</v>
      </c>
      <c r="Q240" s="35">
        <v>1142700.4659286197</v>
      </c>
      <c r="R240" s="3" t="e">
        <v>#N/A</v>
      </c>
      <c r="S240" s="25">
        <v>2221</v>
      </c>
      <c r="T240" s="25">
        <v>19378</v>
      </c>
      <c r="U240" s="25"/>
      <c r="V240" s="25">
        <v>17077</v>
      </c>
      <c r="W240" s="25">
        <v>21503</v>
      </c>
      <c r="X240" s="25">
        <v>2125</v>
      </c>
    </row>
    <row r="241" spans="2:24" ht="13.5" x14ac:dyDescent="0.25">
      <c r="B241" s="16" t="s">
        <v>226</v>
      </c>
      <c r="C241" s="9" t="s">
        <v>481</v>
      </c>
      <c r="D241" s="9" t="s">
        <v>482</v>
      </c>
      <c r="E241" s="31">
        <v>103888</v>
      </c>
      <c r="F241" s="33">
        <v>71.65685346159988</v>
      </c>
      <c r="G241" s="33">
        <v>7444287.1924186889</v>
      </c>
      <c r="H241" s="34"/>
      <c r="I241" s="31">
        <v>0</v>
      </c>
      <c r="J241" s="33">
        <v>0</v>
      </c>
      <c r="K241" s="34"/>
      <c r="L241" s="31">
        <v>-8894</v>
      </c>
      <c r="M241" s="33">
        <v>-637316.05468746938</v>
      </c>
      <c r="N241" s="34"/>
      <c r="O241" s="31">
        <v>94994</v>
      </c>
      <c r="P241" s="37">
        <v>71.65685346159988</v>
      </c>
      <c r="Q241" s="35">
        <v>6806971.1377312196</v>
      </c>
      <c r="R241" s="3" t="e">
        <v>#N/A</v>
      </c>
      <c r="S241" s="25">
        <v>11568</v>
      </c>
      <c r="T241" s="25">
        <v>106562</v>
      </c>
      <c r="U241" s="25"/>
      <c r="V241" s="25">
        <v>94994</v>
      </c>
      <c r="W241" s="25">
        <v>106565</v>
      </c>
      <c r="X241" s="25">
        <v>3</v>
      </c>
    </row>
    <row r="242" spans="2:24" ht="13.5" x14ac:dyDescent="0.25">
      <c r="B242" s="16" t="s">
        <v>226</v>
      </c>
      <c r="C242" s="9" t="s">
        <v>491</v>
      </c>
      <c r="D242" s="9" t="s">
        <v>492</v>
      </c>
      <c r="E242" s="31">
        <v>0</v>
      </c>
      <c r="F242" s="33">
        <v>85.012369823312042</v>
      </c>
      <c r="G242" s="33">
        <v>0</v>
      </c>
      <c r="H242" s="34"/>
      <c r="I242" s="31">
        <v>0</v>
      </c>
      <c r="J242" s="33">
        <v>0</v>
      </c>
      <c r="K242" s="34"/>
      <c r="L242" s="31">
        <v>0</v>
      </c>
      <c r="M242" s="33">
        <v>0</v>
      </c>
      <c r="N242" s="34"/>
      <c r="O242" s="31">
        <v>0</v>
      </c>
      <c r="P242" s="37">
        <v>85.012369823312042</v>
      </c>
      <c r="Q242" s="35">
        <v>0</v>
      </c>
      <c r="R242" s="3" t="e">
        <v>#N/A</v>
      </c>
      <c r="S242" s="25"/>
      <c r="T242" s="25"/>
      <c r="U242" s="25"/>
      <c r="V242" s="25">
        <v>0</v>
      </c>
      <c r="W242" s="25">
        <v>0</v>
      </c>
      <c r="X242" s="25">
        <v>0</v>
      </c>
    </row>
    <row r="243" spans="2:24" ht="13.5" x14ac:dyDescent="0.25">
      <c r="B243" s="16" t="s">
        <v>226</v>
      </c>
      <c r="C243" s="9" t="s">
        <v>493</v>
      </c>
      <c r="D243" s="9" t="s">
        <v>494</v>
      </c>
      <c r="E243" s="31">
        <v>0</v>
      </c>
      <c r="F243" s="33">
        <v>87.224710226801022</v>
      </c>
      <c r="G243" s="33">
        <v>0</v>
      </c>
      <c r="H243" s="34"/>
      <c r="I243" s="31">
        <v>0</v>
      </c>
      <c r="J243" s="33">
        <v>0</v>
      </c>
      <c r="K243" s="34"/>
      <c r="L243" s="31">
        <v>0</v>
      </c>
      <c r="M243" s="33">
        <v>0</v>
      </c>
      <c r="N243" s="34"/>
      <c r="O243" s="31">
        <v>0</v>
      </c>
      <c r="P243" s="37">
        <v>87.224710226801022</v>
      </c>
      <c r="Q243" s="35">
        <v>0</v>
      </c>
      <c r="R243" s="3" t="e">
        <v>#N/A</v>
      </c>
      <c r="S243" s="25"/>
      <c r="T243" s="25"/>
      <c r="U243" s="25"/>
      <c r="V243" s="25">
        <v>0</v>
      </c>
      <c r="W243" s="25">
        <v>0</v>
      </c>
      <c r="X243" s="25">
        <v>0</v>
      </c>
    </row>
    <row r="244" spans="2:24" ht="13.5" x14ac:dyDescent="0.25">
      <c r="B244" s="16" t="s">
        <v>227</v>
      </c>
      <c r="C244" s="9" t="s">
        <v>4</v>
      </c>
      <c r="D244" s="9" t="s">
        <v>384</v>
      </c>
      <c r="E244" s="31">
        <v>276</v>
      </c>
      <c r="F244" s="33">
        <v>258.68636629601343</v>
      </c>
      <c r="G244" s="33">
        <v>71397.437097699702</v>
      </c>
      <c r="H244" s="34"/>
      <c r="I244" s="31">
        <v>0</v>
      </c>
      <c r="J244" s="33">
        <v>0</v>
      </c>
      <c r="K244" s="34"/>
      <c r="L244" s="31">
        <v>-40</v>
      </c>
      <c r="M244" s="33">
        <v>-10347.454651840537</v>
      </c>
      <c r="N244" s="34"/>
      <c r="O244" s="31">
        <v>236</v>
      </c>
      <c r="P244" s="37">
        <v>258.68636629601338</v>
      </c>
      <c r="Q244" s="35">
        <v>61049.982445859161</v>
      </c>
      <c r="R244" s="3" t="e">
        <v>#N/A</v>
      </c>
      <c r="S244" s="28">
        <v>44138</v>
      </c>
      <c r="T244" s="28">
        <v>214536</v>
      </c>
      <c r="U244" s="32">
        <v>24114</v>
      </c>
      <c r="V244" s="28">
        <v>194432</v>
      </c>
      <c r="W244" s="28">
        <v>241170</v>
      </c>
      <c r="X244" s="28">
        <v>2520</v>
      </c>
    </row>
    <row r="245" spans="2:24" ht="13.5" x14ac:dyDescent="0.25">
      <c r="B245" s="16" t="s">
        <v>227</v>
      </c>
      <c r="C245" s="9" t="s">
        <v>5</v>
      </c>
      <c r="D245" s="9" t="s">
        <v>385</v>
      </c>
      <c r="E245" s="31">
        <v>22</v>
      </c>
      <c r="F245" s="33">
        <v>154.41499999999994</v>
      </c>
      <c r="G245" s="33">
        <v>3397.1299999999983</v>
      </c>
      <c r="H245" s="34"/>
      <c r="I245" s="31">
        <v>100</v>
      </c>
      <c r="J245" s="33">
        <v>28412.34</v>
      </c>
      <c r="K245" s="34"/>
      <c r="L245" s="31">
        <v>-7</v>
      </c>
      <c r="M245" s="33">
        <v>-1825.1335245901637</v>
      </c>
      <c r="N245" s="34"/>
      <c r="O245" s="31">
        <v>115</v>
      </c>
      <c r="P245" s="37">
        <v>260.73336065573767</v>
      </c>
      <c r="Q245" s="35">
        <v>29984.336475409833</v>
      </c>
      <c r="R245" s="3" t="s">
        <v>5</v>
      </c>
      <c r="S245" s="21">
        <v>0</v>
      </c>
      <c r="T245" s="23">
        <v>170398</v>
      </c>
      <c r="U245" s="23">
        <v>194512</v>
      </c>
      <c r="V245" s="1"/>
      <c r="W245" s="23">
        <v>197032</v>
      </c>
    </row>
    <row r="246" spans="2:24" x14ac:dyDescent="0.2">
      <c r="B246" s="16" t="s">
        <v>227</v>
      </c>
      <c r="C246" s="9" t="s">
        <v>6</v>
      </c>
      <c r="D246" s="9" t="s">
        <v>386</v>
      </c>
      <c r="E246" s="31">
        <v>389</v>
      </c>
      <c r="F246" s="33">
        <v>29.000169999999997</v>
      </c>
      <c r="G246" s="33">
        <v>11281.066129999999</v>
      </c>
      <c r="H246" s="34"/>
      <c r="I246" s="31">
        <v>0</v>
      </c>
      <c r="J246" s="33">
        <v>0</v>
      </c>
      <c r="K246" s="34"/>
      <c r="L246" s="31">
        <v>-187</v>
      </c>
      <c r="M246" s="33">
        <v>-5423.0317899999991</v>
      </c>
      <c r="N246" s="34"/>
      <c r="O246" s="31">
        <v>202</v>
      </c>
      <c r="P246" s="37">
        <v>29.000170000000001</v>
      </c>
      <c r="Q246" s="35">
        <v>5858.0343400000002</v>
      </c>
      <c r="R246" s="3" t="e">
        <v>#N/A</v>
      </c>
      <c r="T246" s="21">
        <v>85</v>
      </c>
    </row>
    <row r="247" spans="2:24" x14ac:dyDescent="0.2">
      <c r="B247" s="16" t="s">
        <v>227</v>
      </c>
      <c r="C247" s="9" t="s">
        <v>7</v>
      </c>
      <c r="D247" s="9" t="s">
        <v>387</v>
      </c>
      <c r="E247" s="31">
        <v>2</v>
      </c>
      <c r="F247" s="33">
        <v>29.000169999999997</v>
      </c>
      <c r="G247" s="33">
        <v>58.000339999999994</v>
      </c>
      <c r="H247" s="34"/>
      <c r="I247" s="31">
        <v>0</v>
      </c>
      <c r="J247" s="33">
        <v>0</v>
      </c>
      <c r="K247" s="34"/>
      <c r="L247" s="31">
        <v>-2</v>
      </c>
      <c r="M247" s="33">
        <v>-58.000339999999994</v>
      </c>
      <c r="N247" s="34"/>
      <c r="O247" s="31">
        <v>0</v>
      </c>
      <c r="P247" s="37">
        <v>29.000169999999997</v>
      </c>
      <c r="Q247" s="35">
        <v>0</v>
      </c>
      <c r="R247" s="3" t="e">
        <v>#N/A</v>
      </c>
    </row>
    <row r="248" spans="2:24" x14ac:dyDescent="0.2">
      <c r="B248" s="16" t="s">
        <v>227</v>
      </c>
      <c r="C248" s="9" t="s">
        <v>199</v>
      </c>
      <c r="D248" s="9" t="s">
        <v>388</v>
      </c>
      <c r="E248" s="31">
        <v>0</v>
      </c>
      <c r="F248" s="33">
        <v>0</v>
      </c>
      <c r="G248" s="33">
        <v>0</v>
      </c>
      <c r="H248" s="34"/>
      <c r="I248" s="31">
        <v>0</v>
      </c>
      <c r="J248" s="33">
        <v>0</v>
      </c>
      <c r="K248" s="34"/>
      <c r="L248" s="31">
        <v>0</v>
      </c>
      <c r="M248" s="33">
        <v>0</v>
      </c>
      <c r="N248" s="34"/>
      <c r="O248" s="31">
        <v>0</v>
      </c>
      <c r="P248" s="37">
        <v>0</v>
      </c>
      <c r="Q248" s="35">
        <v>0</v>
      </c>
      <c r="R248" s="3" t="e">
        <v>#N/A</v>
      </c>
    </row>
    <row r="249" spans="2:24" x14ac:dyDescent="0.2">
      <c r="B249" s="16" t="s">
        <v>227</v>
      </c>
      <c r="C249" s="9" t="s">
        <v>8</v>
      </c>
      <c r="D249" s="9" t="s">
        <v>389</v>
      </c>
      <c r="E249" s="31">
        <v>86</v>
      </c>
      <c r="F249" s="33">
        <v>188.98999999999998</v>
      </c>
      <c r="G249" s="33">
        <v>16253.139999999998</v>
      </c>
      <c r="H249" s="34"/>
      <c r="I249" s="31">
        <v>0</v>
      </c>
      <c r="J249" s="33">
        <v>0</v>
      </c>
      <c r="K249" s="34"/>
      <c r="L249" s="31">
        <v>-2</v>
      </c>
      <c r="M249" s="33">
        <v>-377.97999999999996</v>
      </c>
      <c r="N249" s="34"/>
      <c r="O249" s="31">
        <v>84</v>
      </c>
      <c r="P249" s="37">
        <v>188.98999999999998</v>
      </c>
      <c r="Q249" s="35">
        <v>15875.159999999998</v>
      </c>
      <c r="R249" s="3" t="e">
        <v>#N/A</v>
      </c>
    </row>
    <row r="250" spans="2:24" x14ac:dyDescent="0.2">
      <c r="B250" s="16" t="s">
        <v>227</v>
      </c>
      <c r="C250" s="9" t="s">
        <v>119</v>
      </c>
      <c r="D250" s="9" t="s">
        <v>120</v>
      </c>
      <c r="E250" s="31">
        <v>2</v>
      </c>
      <c r="F250" s="33">
        <v>3031.2</v>
      </c>
      <c r="G250" s="33">
        <v>6062.4</v>
      </c>
      <c r="H250" s="34"/>
      <c r="I250" s="31">
        <v>0</v>
      </c>
      <c r="J250" s="33">
        <v>0</v>
      </c>
      <c r="K250" s="34"/>
      <c r="L250" s="31">
        <v>0</v>
      </c>
      <c r="M250" s="33">
        <v>0</v>
      </c>
      <c r="N250" s="34"/>
      <c r="O250" s="31">
        <v>2</v>
      </c>
      <c r="P250" s="37">
        <v>3031.2</v>
      </c>
      <c r="Q250" s="35">
        <v>6062.4</v>
      </c>
      <c r="R250" s="3" t="e">
        <v>#N/A</v>
      </c>
    </row>
    <row r="251" spans="2:24" x14ac:dyDescent="0.2">
      <c r="B251" s="16" t="s">
        <v>227</v>
      </c>
      <c r="C251" s="9" t="s">
        <v>121</v>
      </c>
      <c r="D251" s="9" t="s">
        <v>390</v>
      </c>
      <c r="E251" s="31">
        <v>2</v>
      </c>
      <c r="F251" s="33">
        <v>10666.666666666668</v>
      </c>
      <c r="G251" s="33">
        <v>21333.333333333336</v>
      </c>
      <c r="H251" s="34"/>
      <c r="I251" s="31">
        <v>0</v>
      </c>
      <c r="J251" s="33">
        <v>0</v>
      </c>
      <c r="K251" s="34"/>
      <c r="L251" s="31">
        <v>0</v>
      </c>
      <c r="M251" s="33">
        <v>0</v>
      </c>
      <c r="N251" s="34"/>
      <c r="O251" s="31">
        <v>2</v>
      </c>
      <c r="P251" s="37">
        <v>10666.666666666668</v>
      </c>
      <c r="Q251" s="35">
        <v>21333.333333333336</v>
      </c>
      <c r="R251" s="3" t="e">
        <v>#N/A</v>
      </c>
    </row>
    <row r="252" spans="2:24" x14ac:dyDescent="0.2">
      <c r="B252" s="16" t="s">
        <v>227</v>
      </c>
      <c r="C252" s="9" t="s">
        <v>122</v>
      </c>
      <c r="D252" s="9" t="s">
        <v>391</v>
      </c>
      <c r="E252" s="31">
        <v>4</v>
      </c>
      <c r="F252" s="33">
        <v>7200</v>
      </c>
      <c r="G252" s="33">
        <v>28800</v>
      </c>
      <c r="H252" s="34"/>
      <c r="I252" s="31">
        <v>0</v>
      </c>
      <c r="J252" s="33">
        <v>0</v>
      </c>
      <c r="K252" s="34"/>
      <c r="L252" s="31">
        <v>0</v>
      </c>
      <c r="M252" s="33">
        <v>0</v>
      </c>
      <c r="N252" s="34"/>
      <c r="O252" s="31">
        <v>4</v>
      </c>
      <c r="P252" s="37">
        <v>7200</v>
      </c>
      <c r="Q252" s="35">
        <v>28800</v>
      </c>
      <c r="R252" s="3" t="e">
        <v>#N/A</v>
      </c>
    </row>
    <row r="253" spans="2:24" x14ac:dyDescent="0.2">
      <c r="B253" s="16" t="s">
        <v>227</v>
      </c>
      <c r="C253" s="9" t="s">
        <v>123</v>
      </c>
      <c r="D253" s="9" t="s">
        <v>392</v>
      </c>
      <c r="E253" s="31">
        <v>4</v>
      </c>
      <c r="F253" s="33">
        <v>3548.1204275210857</v>
      </c>
      <c r="G253" s="33">
        <v>14192.481710084343</v>
      </c>
      <c r="H253" s="34"/>
      <c r="I253" s="31">
        <v>0</v>
      </c>
      <c r="J253" s="33">
        <v>0</v>
      </c>
      <c r="K253" s="34"/>
      <c r="L253" s="31">
        <v>-1</v>
      </c>
      <c r="M253" s="33">
        <v>-3548.1204275210857</v>
      </c>
      <c r="N253" s="34"/>
      <c r="O253" s="31">
        <v>3</v>
      </c>
      <c r="P253" s="37">
        <v>3548.1204275210857</v>
      </c>
      <c r="Q253" s="35">
        <v>10644.361282563257</v>
      </c>
      <c r="R253" s="3" t="e">
        <v>#N/A</v>
      </c>
    </row>
    <row r="254" spans="2:24" x14ac:dyDescent="0.2">
      <c r="B254" s="16" t="s">
        <v>227</v>
      </c>
      <c r="C254" s="9" t="s">
        <v>124</v>
      </c>
      <c r="D254" s="9" t="s">
        <v>393</v>
      </c>
      <c r="E254" s="31">
        <v>3</v>
      </c>
      <c r="F254" s="33">
        <v>3546.9462504339876</v>
      </c>
      <c r="G254" s="33">
        <v>10640.838751301962</v>
      </c>
      <c r="H254" s="34"/>
      <c r="I254" s="31">
        <v>0</v>
      </c>
      <c r="J254" s="33">
        <v>0</v>
      </c>
      <c r="K254" s="34"/>
      <c r="L254" s="31">
        <v>0</v>
      </c>
      <c r="M254" s="33">
        <v>0</v>
      </c>
      <c r="N254" s="34"/>
      <c r="O254" s="31">
        <v>3</v>
      </c>
      <c r="P254" s="37">
        <v>3546.9462504339876</v>
      </c>
      <c r="Q254" s="35">
        <v>10640.838751301962</v>
      </c>
      <c r="R254" s="3" t="e">
        <v>#N/A</v>
      </c>
    </row>
    <row r="255" spans="2:24" x14ac:dyDescent="0.2">
      <c r="B255" s="16" t="s">
        <v>227</v>
      </c>
      <c r="C255" s="9" t="s">
        <v>125</v>
      </c>
      <c r="D255" s="9" t="s">
        <v>394</v>
      </c>
      <c r="E255" s="31">
        <v>8</v>
      </c>
      <c r="F255" s="33">
        <v>3664.334783728817</v>
      </c>
      <c r="G255" s="33">
        <v>29314.678269830536</v>
      </c>
      <c r="H255" s="34"/>
      <c r="I255" s="31">
        <v>0</v>
      </c>
      <c r="J255" s="33">
        <v>0</v>
      </c>
      <c r="K255" s="34"/>
      <c r="L255" s="31">
        <v>0</v>
      </c>
      <c r="M255" s="33">
        <v>0</v>
      </c>
      <c r="N255" s="34"/>
      <c r="O255" s="31">
        <v>8</v>
      </c>
      <c r="P255" s="37">
        <v>3664.334783728817</v>
      </c>
      <c r="Q255" s="35">
        <v>29314.678269830536</v>
      </c>
      <c r="R255" s="3" t="e">
        <v>#N/A</v>
      </c>
    </row>
    <row r="256" spans="2:24" x14ac:dyDescent="0.2">
      <c r="B256" s="16" t="s">
        <v>227</v>
      </c>
      <c r="C256" s="9" t="s">
        <v>113</v>
      </c>
      <c r="D256" s="9" t="s">
        <v>395</v>
      </c>
      <c r="E256" s="31">
        <v>0</v>
      </c>
      <c r="F256" s="33">
        <v>0</v>
      </c>
      <c r="G256" s="33">
        <v>0</v>
      </c>
      <c r="H256" s="34"/>
      <c r="I256" s="31">
        <v>0</v>
      </c>
      <c r="J256" s="33">
        <v>0</v>
      </c>
      <c r="K256" s="34"/>
      <c r="L256" s="31">
        <v>0</v>
      </c>
      <c r="M256" s="33">
        <v>0</v>
      </c>
      <c r="N256" s="34"/>
      <c r="O256" s="31">
        <v>0</v>
      </c>
      <c r="P256" s="37">
        <v>0</v>
      </c>
      <c r="Q256" s="35">
        <v>0</v>
      </c>
      <c r="R256" s="3" t="e">
        <v>#N/A</v>
      </c>
    </row>
    <row r="257" spans="2:18" x14ac:dyDescent="0.2">
      <c r="B257" s="16" t="s">
        <v>227</v>
      </c>
      <c r="C257" s="9" t="s">
        <v>112</v>
      </c>
      <c r="D257" s="9" t="s">
        <v>396</v>
      </c>
      <c r="E257" s="31">
        <v>0</v>
      </c>
      <c r="F257" s="33">
        <v>0</v>
      </c>
      <c r="G257" s="33">
        <v>0</v>
      </c>
      <c r="H257" s="34"/>
      <c r="I257" s="31">
        <v>0</v>
      </c>
      <c r="J257" s="33">
        <v>0</v>
      </c>
      <c r="K257" s="34"/>
      <c r="L257" s="31">
        <v>0</v>
      </c>
      <c r="M257" s="33">
        <v>0</v>
      </c>
      <c r="N257" s="34"/>
      <c r="O257" s="31">
        <v>0</v>
      </c>
      <c r="P257" s="37">
        <v>0</v>
      </c>
      <c r="Q257" s="35">
        <v>0</v>
      </c>
      <c r="R257" s="3" t="e">
        <v>#N/A</v>
      </c>
    </row>
    <row r="258" spans="2:18" x14ac:dyDescent="0.2">
      <c r="B258" s="16" t="s">
        <v>227</v>
      </c>
      <c r="C258" s="9" t="s">
        <v>111</v>
      </c>
      <c r="D258" s="9" t="s">
        <v>397</v>
      </c>
      <c r="E258" s="31">
        <v>0</v>
      </c>
      <c r="F258" s="33">
        <v>0</v>
      </c>
      <c r="G258" s="33">
        <v>0</v>
      </c>
      <c r="H258" s="34"/>
      <c r="I258" s="31">
        <v>0</v>
      </c>
      <c r="J258" s="33">
        <v>0</v>
      </c>
      <c r="K258" s="34"/>
      <c r="L258" s="31">
        <v>0</v>
      </c>
      <c r="M258" s="33">
        <v>0</v>
      </c>
      <c r="N258" s="34"/>
      <c r="O258" s="31">
        <v>0</v>
      </c>
      <c r="P258" s="37">
        <v>0</v>
      </c>
      <c r="Q258" s="35">
        <v>0</v>
      </c>
      <c r="R258" s="3" t="e">
        <v>#N/A</v>
      </c>
    </row>
    <row r="259" spans="2:18" x14ac:dyDescent="0.2">
      <c r="B259" s="16" t="s">
        <v>227</v>
      </c>
      <c r="C259" s="9" t="s">
        <v>109</v>
      </c>
      <c r="D259" s="9" t="s">
        <v>398</v>
      </c>
      <c r="E259" s="31">
        <v>0</v>
      </c>
      <c r="F259" s="33">
        <v>0</v>
      </c>
      <c r="G259" s="33">
        <v>0</v>
      </c>
      <c r="H259" s="34"/>
      <c r="I259" s="31">
        <v>0</v>
      </c>
      <c r="J259" s="33">
        <v>0</v>
      </c>
      <c r="K259" s="34"/>
      <c r="L259" s="31">
        <v>0</v>
      </c>
      <c r="M259" s="33">
        <v>0</v>
      </c>
      <c r="N259" s="34"/>
      <c r="O259" s="31">
        <v>0</v>
      </c>
      <c r="P259" s="37">
        <v>0</v>
      </c>
      <c r="Q259" s="35">
        <v>0</v>
      </c>
      <c r="R259" s="3" t="e">
        <v>#N/A</v>
      </c>
    </row>
    <row r="260" spans="2:18" x14ac:dyDescent="0.2">
      <c r="B260" s="16" t="s">
        <v>227</v>
      </c>
      <c r="C260" s="9" t="s">
        <v>110</v>
      </c>
      <c r="D260" s="9" t="s">
        <v>399</v>
      </c>
      <c r="E260" s="31">
        <v>0</v>
      </c>
      <c r="F260" s="33">
        <v>0</v>
      </c>
      <c r="G260" s="33">
        <v>0</v>
      </c>
      <c r="H260" s="34"/>
      <c r="I260" s="31">
        <v>0</v>
      </c>
      <c r="J260" s="33">
        <v>0</v>
      </c>
      <c r="K260" s="34"/>
      <c r="L260" s="31">
        <v>0</v>
      </c>
      <c r="M260" s="33">
        <v>0</v>
      </c>
      <c r="N260" s="34"/>
      <c r="O260" s="31">
        <v>0</v>
      </c>
      <c r="P260" s="37">
        <v>0</v>
      </c>
      <c r="Q260" s="35">
        <v>0</v>
      </c>
      <c r="R260" s="3" t="e">
        <v>#N/A</v>
      </c>
    </row>
    <row r="261" spans="2:18" x14ac:dyDescent="0.2">
      <c r="B261" s="16" t="s">
        <v>227</v>
      </c>
      <c r="C261" s="9" t="s">
        <v>142</v>
      </c>
      <c r="D261" s="9" t="s">
        <v>143</v>
      </c>
      <c r="E261" s="31">
        <v>1</v>
      </c>
      <c r="F261" s="33">
        <v>8953.73</v>
      </c>
      <c r="G261" s="33">
        <v>8953.73</v>
      </c>
      <c r="H261" s="34"/>
      <c r="I261" s="31">
        <v>0</v>
      </c>
      <c r="J261" s="33">
        <v>0</v>
      </c>
      <c r="K261" s="34"/>
      <c r="L261" s="31">
        <v>0</v>
      </c>
      <c r="M261" s="33">
        <v>0</v>
      </c>
      <c r="N261" s="34"/>
      <c r="O261" s="31">
        <v>1</v>
      </c>
      <c r="P261" s="37">
        <v>8953.73</v>
      </c>
      <c r="Q261" s="35">
        <v>8953.73</v>
      </c>
      <c r="R261" s="3" t="e">
        <v>#N/A</v>
      </c>
    </row>
    <row r="262" spans="2:18" x14ac:dyDescent="0.2">
      <c r="B262" s="16" t="s">
        <v>227</v>
      </c>
      <c r="C262" s="9" t="s">
        <v>144</v>
      </c>
      <c r="D262" s="9" t="s">
        <v>145</v>
      </c>
      <c r="E262" s="31">
        <v>2</v>
      </c>
      <c r="F262" s="33">
        <v>1474.7333333333331</v>
      </c>
      <c r="G262" s="33">
        <v>2949.4666666666662</v>
      </c>
      <c r="H262" s="34"/>
      <c r="I262" s="31">
        <v>0</v>
      </c>
      <c r="J262" s="33">
        <v>0</v>
      </c>
      <c r="K262" s="34"/>
      <c r="L262" s="31">
        <v>0</v>
      </c>
      <c r="M262" s="33">
        <v>0</v>
      </c>
      <c r="N262" s="34"/>
      <c r="O262" s="31">
        <v>2</v>
      </c>
      <c r="P262" s="37">
        <v>1474.7333333333331</v>
      </c>
      <c r="Q262" s="35">
        <v>2949.4666666666662</v>
      </c>
      <c r="R262" s="3" t="e">
        <v>#N/A</v>
      </c>
    </row>
    <row r="263" spans="2:18" x14ac:dyDescent="0.2">
      <c r="B263" s="16" t="s">
        <v>227</v>
      </c>
      <c r="C263" s="9" t="s">
        <v>146</v>
      </c>
      <c r="D263" s="9" t="s">
        <v>147</v>
      </c>
      <c r="E263" s="31">
        <v>1</v>
      </c>
      <c r="F263" s="33">
        <v>184.34</v>
      </c>
      <c r="G263" s="33">
        <v>184.34</v>
      </c>
      <c r="H263" s="34"/>
      <c r="I263" s="31">
        <v>0</v>
      </c>
      <c r="J263" s="33">
        <v>0</v>
      </c>
      <c r="K263" s="34"/>
      <c r="L263" s="31">
        <v>0</v>
      </c>
      <c r="M263" s="33">
        <v>0</v>
      </c>
      <c r="N263" s="34"/>
      <c r="O263" s="31">
        <v>1</v>
      </c>
      <c r="P263" s="37">
        <v>184.34</v>
      </c>
      <c r="Q263" s="35">
        <v>184.34</v>
      </c>
      <c r="R263" s="3" t="e">
        <v>#N/A</v>
      </c>
    </row>
    <row r="264" spans="2:18" x14ac:dyDescent="0.2">
      <c r="B264" s="16" t="s">
        <v>227</v>
      </c>
      <c r="C264" s="9" t="s">
        <v>148</v>
      </c>
      <c r="D264" s="9" t="s">
        <v>149</v>
      </c>
      <c r="E264" s="31">
        <v>0</v>
      </c>
      <c r="F264" s="33">
        <v>0</v>
      </c>
      <c r="G264" s="33">
        <v>0</v>
      </c>
      <c r="H264" s="34"/>
      <c r="I264" s="31">
        <v>0</v>
      </c>
      <c r="J264" s="33">
        <v>0</v>
      </c>
      <c r="K264" s="34"/>
      <c r="L264" s="31">
        <v>0</v>
      </c>
      <c r="M264" s="33">
        <v>0</v>
      </c>
      <c r="N264" s="34"/>
      <c r="O264" s="31">
        <v>0</v>
      </c>
      <c r="P264" s="37">
        <v>0</v>
      </c>
      <c r="Q264" s="35">
        <v>0</v>
      </c>
      <c r="R264" s="3" t="e">
        <v>#N/A</v>
      </c>
    </row>
    <row r="265" spans="2:18" x14ac:dyDescent="0.2">
      <c r="B265" s="16" t="s">
        <v>227</v>
      </c>
      <c r="C265" s="9" t="s">
        <v>150</v>
      </c>
      <c r="D265" s="9" t="s">
        <v>151</v>
      </c>
      <c r="E265" s="31">
        <v>0</v>
      </c>
      <c r="F265" s="33">
        <v>0</v>
      </c>
      <c r="G265" s="33">
        <v>0</v>
      </c>
      <c r="H265" s="34"/>
      <c r="I265" s="31">
        <v>0</v>
      </c>
      <c r="J265" s="33">
        <v>0</v>
      </c>
      <c r="K265" s="34"/>
      <c r="L265" s="31">
        <v>0</v>
      </c>
      <c r="M265" s="33">
        <v>0</v>
      </c>
      <c r="N265" s="34"/>
      <c r="O265" s="31">
        <v>0</v>
      </c>
      <c r="P265" s="37">
        <v>0</v>
      </c>
      <c r="Q265" s="35">
        <v>0</v>
      </c>
      <c r="R265" s="3" t="e">
        <v>#N/A</v>
      </c>
    </row>
    <row r="266" spans="2:18" x14ac:dyDescent="0.2">
      <c r="B266" s="16" t="s">
        <v>227</v>
      </c>
      <c r="C266" s="9" t="s">
        <v>152</v>
      </c>
      <c r="D266" s="9" t="s">
        <v>153</v>
      </c>
      <c r="E266" s="31">
        <v>0</v>
      </c>
      <c r="F266" s="33">
        <v>0</v>
      </c>
      <c r="G266" s="33">
        <v>0</v>
      </c>
      <c r="H266" s="34"/>
      <c r="I266" s="31">
        <v>0</v>
      </c>
      <c r="J266" s="33">
        <v>0</v>
      </c>
      <c r="K266" s="34"/>
      <c r="L266" s="31">
        <v>0</v>
      </c>
      <c r="M266" s="33">
        <v>0</v>
      </c>
      <c r="N266" s="34"/>
      <c r="O266" s="31">
        <v>0</v>
      </c>
      <c r="P266" s="37">
        <v>0</v>
      </c>
      <c r="Q266" s="35">
        <v>0</v>
      </c>
      <c r="R266" s="3" t="e">
        <v>#N/A</v>
      </c>
    </row>
    <row r="267" spans="2:18" x14ac:dyDescent="0.2">
      <c r="B267" s="16" t="s">
        <v>227</v>
      </c>
      <c r="C267" s="9" t="s">
        <v>154</v>
      </c>
      <c r="D267" s="9" t="s">
        <v>155</v>
      </c>
      <c r="E267" s="31">
        <v>0</v>
      </c>
      <c r="F267" s="33">
        <v>0</v>
      </c>
      <c r="G267" s="33">
        <v>0</v>
      </c>
      <c r="H267" s="34"/>
      <c r="I267" s="31">
        <v>0</v>
      </c>
      <c r="J267" s="33">
        <v>0</v>
      </c>
      <c r="K267" s="34"/>
      <c r="L267" s="31">
        <v>0</v>
      </c>
      <c r="M267" s="33">
        <v>0</v>
      </c>
      <c r="N267" s="34"/>
      <c r="O267" s="31">
        <v>0</v>
      </c>
      <c r="P267" s="37">
        <v>0</v>
      </c>
      <c r="Q267" s="35">
        <v>0</v>
      </c>
      <c r="R267" s="3" t="e">
        <v>#N/A</v>
      </c>
    </row>
    <row r="268" spans="2:18" x14ac:dyDescent="0.2">
      <c r="B268" s="16" t="s">
        <v>227</v>
      </c>
      <c r="C268" s="9" t="s">
        <v>156</v>
      </c>
      <c r="D268" s="9" t="s">
        <v>157</v>
      </c>
      <c r="E268" s="31">
        <v>0</v>
      </c>
      <c r="F268" s="33">
        <v>0</v>
      </c>
      <c r="G268" s="33">
        <v>0</v>
      </c>
      <c r="H268" s="34"/>
      <c r="I268" s="31">
        <v>0</v>
      </c>
      <c r="J268" s="33">
        <v>0</v>
      </c>
      <c r="K268" s="34"/>
      <c r="L268" s="31">
        <v>0</v>
      </c>
      <c r="M268" s="33">
        <v>0</v>
      </c>
      <c r="N268" s="34"/>
      <c r="O268" s="31">
        <v>0</v>
      </c>
      <c r="P268" s="37">
        <v>0</v>
      </c>
      <c r="Q268" s="35">
        <v>0</v>
      </c>
      <c r="R268" s="3" t="e">
        <v>#N/A</v>
      </c>
    </row>
    <row r="269" spans="2:18" x14ac:dyDescent="0.2">
      <c r="B269" s="16" t="s">
        <v>227</v>
      </c>
      <c r="C269" s="9" t="s">
        <v>158</v>
      </c>
      <c r="D269" s="9" t="s">
        <v>159</v>
      </c>
      <c r="E269" s="31">
        <v>0</v>
      </c>
      <c r="F269" s="33">
        <v>0</v>
      </c>
      <c r="G269" s="33">
        <v>0</v>
      </c>
      <c r="H269" s="34"/>
      <c r="I269" s="31">
        <v>0</v>
      </c>
      <c r="J269" s="33">
        <v>0</v>
      </c>
      <c r="K269" s="34"/>
      <c r="L269" s="31">
        <v>0</v>
      </c>
      <c r="M269" s="33">
        <v>0</v>
      </c>
      <c r="N269" s="34"/>
      <c r="O269" s="31">
        <v>0</v>
      </c>
      <c r="P269" s="37">
        <v>0</v>
      </c>
      <c r="Q269" s="35">
        <v>0</v>
      </c>
      <c r="R269" s="3" t="e">
        <v>#N/A</v>
      </c>
    </row>
    <row r="270" spans="2:18" x14ac:dyDescent="0.2">
      <c r="B270" s="16" t="s">
        <v>227</v>
      </c>
      <c r="C270" s="9" t="s">
        <v>164</v>
      </c>
      <c r="D270" s="9" t="s">
        <v>400</v>
      </c>
      <c r="E270" s="31">
        <v>0</v>
      </c>
      <c r="F270" s="33">
        <v>0</v>
      </c>
      <c r="G270" s="33">
        <v>0</v>
      </c>
      <c r="H270" s="34"/>
      <c r="I270" s="31">
        <v>0</v>
      </c>
      <c r="J270" s="33">
        <v>0</v>
      </c>
      <c r="K270" s="34"/>
      <c r="L270" s="31">
        <v>0</v>
      </c>
      <c r="M270" s="33">
        <v>0</v>
      </c>
      <c r="N270" s="34"/>
      <c r="O270" s="31">
        <v>0</v>
      </c>
      <c r="P270" s="37">
        <v>0</v>
      </c>
      <c r="Q270" s="35">
        <v>0</v>
      </c>
      <c r="R270" s="3" t="e">
        <v>#N/A</v>
      </c>
    </row>
    <row r="271" spans="2:18" x14ac:dyDescent="0.2">
      <c r="B271" s="16" t="s">
        <v>227</v>
      </c>
      <c r="C271" s="9" t="s">
        <v>165</v>
      </c>
      <c r="D271" s="9" t="s">
        <v>401</v>
      </c>
      <c r="E271" s="31">
        <v>0</v>
      </c>
      <c r="F271" s="33">
        <v>0</v>
      </c>
      <c r="G271" s="33">
        <v>0</v>
      </c>
      <c r="H271" s="34"/>
      <c r="I271" s="31">
        <v>0</v>
      </c>
      <c r="J271" s="33">
        <v>0</v>
      </c>
      <c r="K271" s="34"/>
      <c r="L271" s="31">
        <v>0</v>
      </c>
      <c r="M271" s="33">
        <v>0</v>
      </c>
      <c r="N271" s="34"/>
      <c r="O271" s="31">
        <v>0</v>
      </c>
      <c r="P271" s="37">
        <v>0</v>
      </c>
      <c r="Q271" s="35">
        <v>0</v>
      </c>
      <c r="R271" s="3" t="e">
        <v>#N/A</v>
      </c>
    </row>
    <row r="272" spans="2:18" x14ac:dyDescent="0.2">
      <c r="B272" s="16" t="s">
        <v>227</v>
      </c>
      <c r="C272" s="9" t="s">
        <v>237</v>
      </c>
      <c r="D272" s="9" t="s">
        <v>261</v>
      </c>
      <c r="E272" s="31">
        <v>0</v>
      </c>
      <c r="F272" s="33">
        <v>0</v>
      </c>
      <c r="G272" s="33">
        <v>0</v>
      </c>
      <c r="H272" s="34"/>
      <c r="I272" s="31">
        <v>0</v>
      </c>
      <c r="J272" s="33">
        <v>0</v>
      </c>
      <c r="K272" s="34"/>
      <c r="L272" s="31">
        <v>0</v>
      </c>
      <c r="M272" s="33">
        <v>0</v>
      </c>
      <c r="N272" s="34"/>
      <c r="O272" s="31">
        <v>0</v>
      </c>
      <c r="P272" s="37">
        <v>0</v>
      </c>
      <c r="Q272" s="35">
        <v>0</v>
      </c>
      <c r="R272" s="3" t="e">
        <v>#N/A</v>
      </c>
    </row>
    <row r="273" spans="2:18" x14ac:dyDescent="0.2">
      <c r="B273" s="16" t="s">
        <v>227</v>
      </c>
      <c r="C273" s="9" t="s">
        <v>238</v>
      </c>
      <c r="D273" s="9" t="s">
        <v>262</v>
      </c>
      <c r="E273" s="31">
        <v>46</v>
      </c>
      <c r="F273" s="33">
        <v>2999.4344264384822</v>
      </c>
      <c r="G273" s="33">
        <v>137973.98361617018</v>
      </c>
      <c r="H273" s="34"/>
      <c r="I273" s="31">
        <v>0</v>
      </c>
      <c r="J273" s="33">
        <v>0</v>
      </c>
      <c r="K273" s="34"/>
      <c r="L273" s="31">
        <v>-15</v>
      </c>
      <c r="M273" s="33">
        <v>-44991.51639657723</v>
      </c>
      <c r="N273" s="34"/>
      <c r="O273" s="31">
        <v>31</v>
      </c>
      <c r="P273" s="37">
        <v>2999.4344264384822</v>
      </c>
      <c r="Q273" s="35">
        <v>92982.467219592945</v>
      </c>
      <c r="R273" s="3" t="e">
        <v>#N/A</v>
      </c>
    </row>
    <row r="274" spans="2:18" x14ac:dyDescent="0.2">
      <c r="B274" s="16" t="s">
        <v>227</v>
      </c>
      <c r="C274" s="9" t="s">
        <v>239</v>
      </c>
      <c r="D274" s="9" t="s">
        <v>263</v>
      </c>
      <c r="E274" s="31">
        <v>54</v>
      </c>
      <c r="F274" s="33">
        <v>3011.5515252063524</v>
      </c>
      <c r="G274" s="33">
        <v>162623.78236114304</v>
      </c>
      <c r="H274" s="34"/>
      <c r="I274" s="31">
        <v>0</v>
      </c>
      <c r="J274" s="33">
        <v>0</v>
      </c>
      <c r="K274" s="34"/>
      <c r="L274" s="31">
        <v>-16</v>
      </c>
      <c r="M274" s="33">
        <v>-48184.824403301638</v>
      </c>
      <c r="N274" s="34"/>
      <c r="O274" s="31">
        <v>38</v>
      </c>
      <c r="P274" s="37">
        <v>3011.5515252063524</v>
      </c>
      <c r="Q274" s="35">
        <v>114438.9579578414</v>
      </c>
      <c r="R274" s="3" t="e">
        <v>#N/A</v>
      </c>
    </row>
    <row r="275" spans="2:18" x14ac:dyDescent="0.2">
      <c r="B275" s="16" t="s">
        <v>227</v>
      </c>
      <c r="C275" s="9" t="s">
        <v>240</v>
      </c>
      <c r="D275" s="9" t="s">
        <v>264</v>
      </c>
      <c r="E275" s="31">
        <v>57</v>
      </c>
      <c r="F275" s="33">
        <v>2517.4823304971715</v>
      </c>
      <c r="G275" s="33">
        <v>143496.49283833877</v>
      </c>
      <c r="H275" s="34"/>
      <c r="I275" s="31">
        <v>0</v>
      </c>
      <c r="J275" s="33">
        <v>0</v>
      </c>
      <c r="K275" s="34"/>
      <c r="L275" s="31">
        <v>-15</v>
      </c>
      <c r="M275" s="33">
        <v>-37762.234957457571</v>
      </c>
      <c r="N275" s="34"/>
      <c r="O275" s="31">
        <v>42</v>
      </c>
      <c r="P275" s="37">
        <v>2517.4823304971715</v>
      </c>
      <c r="Q275" s="35">
        <v>105734.2578808812</v>
      </c>
      <c r="R275" s="3" t="e">
        <v>#N/A</v>
      </c>
    </row>
    <row r="276" spans="2:18" x14ac:dyDescent="0.2">
      <c r="B276" s="16" t="s">
        <v>227</v>
      </c>
      <c r="C276" s="9" t="s">
        <v>241</v>
      </c>
      <c r="D276" s="9" t="s">
        <v>265</v>
      </c>
      <c r="E276" s="31">
        <v>17</v>
      </c>
      <c r="F276" s="33">
        <v>4477.1814777107229</v>
      </c>
      <c r="G276" s="33">
        <v>76112.085121082288</v>
      </c>
      <c r="H276" s="34"/>
      <c r="I276" s="31">
        <v>0</v>
      </c>
      <c r="J276" s="33">
        <v>0</v>
      </c>
      <c r="K276" s="34"/>
      <c r="L276" s="31">
        <v>-8</v>
      </c>
      <c r="M276" s="33">
        <v>-35817.451821685783</v>
      </c>
      <c r="N276" s="34"/>
      <c r="O276" s="31">
        <v>9</v>
      </c>
      <c r="P276" s="37">
        <v>4477.1814777107229</v>
      </c>
      <c r="Q276" s="35">
        <v>40294.633299396504</v>
      </c>
      <c r="R276" s="3" t="e">
        <v>#N/A</v>
      </c>
    </row>
    <row r="277" spans="2:18" x14ac:dyDescent="0.2">
      <c r="B277" s="16" t="s">
        <v>227</v>
      </c>
      <c r="C277" s="9" t="s">
        <v>242</v>
      </c>
      <c r="D277" s="9" t="s">
        <v>266</v>
      </c>
      <c r="E277" s="31">
        <v>19</v>
      </c>
      <c r="F277" s="33">
        <v>4685.4144794951335</v>
      </c>
      <c r="G277" s="33">
        <v>89022.875110407535</v>
      </c>
      <c r="H277" s="34"/>
      <c r="I277" s="31">
        <v>0</v>
      </c>
      <c r="J277" s="33">
        <v>0</v>
      </c>
      <c r="K277" s="34"/>
      <c r="L277" s="31">
        <v>-11</v>
      </c>
      <c r="M277" s="33">
        <v>-51539.559274446467</v>
      </c>
      <c r="N277" s="34"/>
      <c r="O277" s="31">
        <v>8</v>
      </c>
      <c r="P277" s="37">
        <v>4685.4144794951335</v>
      </c>
      <c r="Q277" s="35">
        <v>37483.315835961068</v>
      </c>
      <c r="R277" s="3" t="e">
        <v>#N/A</v>
      </c>
    </row>
    <row r="278" spans="2:18" x14ac:dyDescent="0.2">
      <c r="B278" s="16" t="s">
        <v>227</v>
      </c>
      <c r="C278" s="9" t="s">
        <v>243</v>
      </c>
      <c r="D278" s="9" t="s">
        <v>267</v>
      </c>
      <c r="E278" s="31">
        <v>24</v>
      </c>
      <c r="F278" s="33">
        <v>1444.457570406862</v>
      </c>
      <c r="G278" s="33">
        <v>34666.981689764689</v>
      </c>
      <c r="H278" s="34"/>
      <c r="I278" s="31">
        <v>0</v>
      </c>
      <c r="J278" s="33">
        <v>0</v>
      </c>
      <c r="K278" s="34"/>
      <c r="L278" s="31">
        <v>-24</v>
      </c>
      <c r="M278" s="33">
        <v>-34666.981689764689</v>
      </c>
      <c r="N278" s="34"/>
      <c r="O278" s="31">
        <v>0</v>
      </c>
      <c r="P278" s="37">
        <v>1444.457570406862</v>
      </c>
      <c r="Q278" s="35">
        <v>0</v>
      </c>
      <c r="R278" s="3" t="e">
        <v>#N/A</v>
      </c>
    </row>
    <row r="279" spans="2:18" x14ac:dyDescent="0.2">
      <c r="B279" s="16" t="s">
        <v>227</v>
      </c>
      <c r="C279" s="9" t="s">
        <v>244</v>
      </c>
      <c r="D279" s="9" t="s">
        <v>268</v>
      </c>
      <c r="E279" s="31">
        <v>0</v>
      </c>
      <c r="F279" s="33">
        <v>0</v>
      </c>
      <c r="G279" s="33">
        <v>0</v>
      </c>
      <c r="H279" s="34"/>
      <c r="I279" s="31">
        <v>110</v>
      </c>
      <c r="J279" s="33">
        <v>137228.14995087398</v>
      </c>
      <c r="K279" s="34"/>
      <c r="L279" s="31">
        <v>-110</v>
      </c>
      <c r="M279" s="33">
        <v>-137228.14995087398</v>
      </c>
      <c r="N279" s="34"/>
      <c r="O279" s="31">
        <v>0</v>
      </c>
      <c r="P279" s="37">
        <v>0</v>
      </c>
      <c r="Q279" s="35">
        <v>0</v>
      </c>
      <c r="R279" s="3" t="s">
        <v>244</v>
      </c>
    </row>
    <row r="280" spans="2:18" x14ac:dyDescent="0.2">
      <c r="B280" s="16" t="s">
        <v>227</v>
      </c>
      <c r="C280" s="9" t="s">
        <v>245</v>
      </c>
      <c r="D280" s="9" t="s">
        <v>269</v>
      </c>
      <c r="E280" s="31">
        <v>121</v>
      </c>
      <c r="F280" s="33">
        <v>1132.3213120543523</v>
      </c>
      <c r="G280" s="33">
        <v>137010.87875857664</v>
      </c>
      <c r="H280" s="34"/>
      <c r="I280" s="31">
        <v>0</v>
      </c>
      <c r="J280" s="33">
        <v>0</v>
      </c>
      <c r="K280" s="34"/>
      <c r="L280" s="31">
        <v>-121</v>
      </c>
      <c r="M280" s="33">
        <v>-137010.87875857664</v>
      </c>
      <c r="N280" s="34"/>
      <c r="O280" s="31">
        <v>0</v>
      </c>
      <c r="P280" s="37">
        <v>1132.3213120543523</v>
      </c>
      <c r="Q280" s="35">
        <v>0</v>
      </c>
      <c r="R280" s="3" t="e">
        <v>#N/A</v>
      </c>
    </row>
    <row r="281" spans="2:18" x14ac:dyDescent="0.2">
      <c r="B281" s="16" t="s">
        <v>227</v>
      </c>
      <c r="C281" s="9" t="s">
        <v>246</v>
      </c>
      <c r="D281" s="9" t="s">
        <v>270</v>
      </c>
      <c r="E281" s="31">
        <v>619</v>
      </c>
      <c r="F281" s="33">
        <v>536.48147074401959</v>
      </c>
      <c r="G281" s="33">
        <v>332082.03039054811</v>
      </c>
      <c r="H281" s="34"/>
      <c r="I281" s="31">
        <v>0</v>
      </c>
      <c r="J281" s="33">
        <v>0</v>
      </c>
      <c r="K281" s="34"/>
      <c r="L281" s="31">
        <v>-619</v>
      </c>
      <c r="M281" s="33">
        <v>-332082.03039054811</v>
      </c>
      <c r="N281" s="34"/>
      <c r="O281" s="31">
        <v>0</v>
      </c>
      <c r="P281" s="37">
        <v>536.48147074401959</v>
      </c>
      <c r="Q281" s="35">
        <v>0</v>
      </c>
      <c r="R281" s="3" t="e">
        <v>#N/A</v>
      </c>
    </row>
    <row r="282" spans="2:18" x14ac:dyDescent="0.2">
      <c r="B282" s="16" t="s">
        <v>227</v>
      </c>
      <c r="C282" s="9" t="s">
        <v>247</v>
      </c>
      <c r="D282" s="9" t="s">
        <v>271</v>
      </c>
      <c r="E282" s="31">
        <v>730</v>
      </c>
      <c r="F282" s="33">
        <v>536.09157098440448</v>
      </c>
      <c r="G282" s="33">
        <v>391346.84681861527</v>
      </c>
      <c r="H282" s="34"/>
      <c r="I282" s="31">
        <v>0</v>
      </c>
      <c r="J282" s="33">
        <v>0</v>
      </c>
      <c r="K282" s="34"/>
      <c r="L282" s="31">
        <v>-730</v>
      </c>
      <c r="M282" s="33">
        <v>-391346.84681861527</v>
      </c>
      <c r="N282" s="34"/>
      <c r="O282" s="31">
        <v>0</v>
      </c>
      <c r="P282" s="37">
        <v>536.09157098440448</v>
      </c>
      <c r="Q282" s="35">
        <v>0</v>
      </c>
      <c r="R282" s="3" t="e">
        <v>#N/A</v>
      </c>
    </row>
    <row r="283" spans="2:18" x14ac:dyDescent="0.2">
      <c r="B283" s="16" t="s">
        <v>227</v>
      </c>
      <c r="C283" s="9" t="s">
        <v>248</v>
      </c>
      <c r="D283" s="9" t="s">
        <v>272</v>
      </c>
      <c r="E283" s="31">
        <v>11</v>
      </c>
      <c r="F283" s="33">
        <v>1538.0027132809425</v>
      </c>
      <c r="G283" s="33">
        <v>16918.029846090369</v>
      </c>
      <c r="H283" s="34"/>
      <c r="I283" s="31">
        <v>0</v>
      </c>
      <c r="J283" s="33">
        <v>0</v>
      </c>
      <c r="K283" s="34"/>
      <c r="L283" s="31">
        <v>-11</v>
      </c>
      <c r="M283" s="33">
        <v>-16918.029846090369</v>
      </c>
      <c r="N283" s="34"/>
      <c r="O283" s="31">
        <v>0</v>
      </c>
      <c r="P283" s="37">
        <v>1538.0027132809425</v>
      </c>
      <c r="Q283" s="35">
        <v>0</v>
      </c>
      <c r="R283" s="3" t="e">
        <v>#N/A</v>
      </c>
    </row>
    <row r="284" spans="2:18" x14ac:dyDescent="0.2">
      <c r="B284" s="16" t="s">
        <v>227</v>
      </c>
      <c r="C284" s="9" t="s">
        <v>249</v>
      </c>
      <c r="D284" s="9" t="s">
        <v>273</v>
      </c>
      <c r="E284" s="31">
        <v>0</v>
      </c>
      <c r="F284" s="33">
        <v>0</v>
      </c>
      <c r="G284" s="33">
        <v>0</v>
      </c>
      <c r="H284" s="34"/>
      <c r="I284" s="31">
        <v>90</v>
      </c>
      <c r="J284" s="33">
        <v>187129.31814722985</v>
      </c>
      <c r="K284" s="34"/>
      <c r="L284" s="31">
        <v>-90</v>
      </c>
      <c r="M284" s="33">
        <v>-187129.31814722985</v>
      </c>
      <c r="N284" s="34"/>
      <c r="O284" s="31">
        <v>0</v>
      </c>
      <c r="P284" s="37">
        <v>0</v>
      </c>
      <c r="Q284" s="35">
        <v>0</v>
      </c>
      <c r="R284" s="3" t="s">
        <v>249</v>
      </c>
    </row>
    <row r="285" spans="2:18" x14ac:dyDescent="0.2">
      <c r="B285" s="16" t="s">
        <v>227</v>
      </c>
      <c r="C285" s="9" t="s">
        <v>250</v>
      </c>
      <c r="D285" s="9" t="s">
        <v>274</v>
      </c>
      <c r="E285" s="31">
        <v>468</v>
      </c>
      <c r="F285" s="33">
        <v>1300.4374786399226</v>
      </c>
      <c r="G285" s="33">
        <v>608604.74000348372</v>
      </c>
      <c r="H285" s="34"/>
      <c r="I285" s="31">
        <v>0</v>
      </c>
      <c r="J285" s="33">
        <v>0</v>
      </c>
      <c r="K285" s="34"/>
      <c r="L285" s="31">
        <v>-468</v>
      </c>
      <c r="M285" s="33">
        <v>-608604.74000348372</v>
      </c>
      <c r="N285" s="34"/>
      <c r="O285" s="31">
        <v>0</v>
      </c>
      <c r="P285" s="37">
        <v>1300.4374786399226</v>
      </c>
      <c r="Q285" s="35">
        <v>0</v>
      </c>
      <c r="R285" s="3" t="e">
        <v>#N/A</v>
      </c>
    </row>
    <row r="286" spans="2:18" x14ac:dyDescent="0.2">
      <c r="B286" s="16" t="s">
        <v>227</v>
      </c>
      <c r="C286" s="9" t="s">
        <v>251</v>
      </c>
      <c r="D286" s="9" t="s">
        <v>275</v>
      </c>
      <c r="E286" s="31">
        <v>34</v>
      </c>
      <c r="F286" s="33">
        <v>1279.1880971604239</v>
      </c>
      <c r="G286" s="33">
        <v>43492.39530345441</v>
      </c>
      <c r="H286" s="34"/>
      <c r="I286" s="31">
        <v>0</v>
      </c>
      <c r="J286" s="33">
        <v>0</v>
      </c>
      <c r="K286" s="34"/>
      <c r="L286" s="31">
        <v>-34</v>
      </c>
      <c r="M286" s="33">
        <v>-43492.39530345441</v>
      </c>
      <c r="N286" s="34"/>
      <c r="O286" s="31">
        <v>0</v>
      </c>
      <c r="P286" s="37">
        <v>1279.1880971604239</v>
      </c>
      <c r="Q286" s="35">
        <v>0</v>
      </c>
      <c r="R286" s="3" t="e">
        <v>#N/A</v>
      </c>
    </row>
    <row r="287" spans="2:18" x14ac:dyDescent="0.2">
      <c r="B287" s="16" t="s">
        <v>227</v>
      </c>
      <c r="C287" s="9" t="s">
        <v>252</v>
      </c>
      <c r="D287" s="9" t="s">
        <v>276</v>
      </c>
      <c r="E287" s="31">
        <v>106</v>
      </c>
      <c r="F287" s="33">
        <v>1104.5396520714769</v>
      </c>
      <c r="G287" s="33">
        <v>117081.20311957656</v>
      </c>
      <c r="H287" s="34"/>
      <c r="I287" s="31">
        <v>0</v>
      </c>
      <c r="J287" s="33">
        <v>0</v>
      </c>
      <c r="K287" s="34"/>
      <c r="L287" s="31">
        <v>-106</v>
      </c>
      <c r="M287" s="33">
        <v>-117081.20311957654</v>
      </c>
      <c r="N287" s="34"/>
      <c r="O287" s="31">
        <v>0</v>
      </c>
      <c r="P287" s="37">
        <v>1104.5396520714769</v>
      </c>
      <c r="Q287" s="35">
        <v>0</v>
      </c>
      <c r="R287" s="3" t="e">
        <v>#N/A</v>
      </c>
    </row>
    <row r="288" spans="2:18" x14ac:dyDescent="0.2">
      <c r="B288" s="16" t="s">
        <v>227</v>
      </c>
      <c r="C288" s="9" t="s">
        <v>253</v>
      </c>
      <c r="D288" s="9" t="s">
        <v>277</v>
      </c>
      <c r="E288" s="31">
        <v>585</v>
      </c>
      <c r="F288" s="33">
        <v>338.90783250378303</v>
      </c>
      <c r="G288" s="33">
        <v>198261.08201471309</v>
      </c>
      <c r="H288" s="34"/>
      <c r="I288" s="31">
        <v>0</v>
      </c>
      <c r="J288" s="33">
        <v>0</v>
      </c>
      <c r="K288" s="34"/>
      <c r="L288" s="31">
        <v>-585</v>
      </c>
      <c r="M288" s="33">
        <v>-198261.08201471306</v>
      </c>
      <c r="N288" s="34"/>
      <c r="O288" s="31">
        <v>0</v>
      </c>
      <c r="P288" s="37">
        <v>338.90783250378303</v>
      </c>
      <c r="Q288" s="35">
        <v>0</v>
      </c>
      <c r="R288" s="3" t="e">
        <v>#N/A</v>
      </c>
    </row>
    <row r="289" spans="2:18" x14ac:dyDescent="0.2">
      <c r="B289" s="16" t="s">
        <v>227</v>
      </c>
      <c r="C289" s="9" t="s">
        <v>254</v>
      </c>
      <c r="D289" s="9" t="s">
        <v>278</v>
      </c>
      <c r="E289" s="31">
        <v>45</v>
      </c>
      <c r="F289" s="33">
        <v>948.17583445943023</v>
      </c>
      <c r="G289" s="33">
        <v>42667.912550674358</v>
      </c>
      <c r="H289" s="34"/>
      <c r="I289" s="31">
        <v>40</v>
      </c>
      <c r="J289" s="33">
        <v>38812.013954710616</v>
      </c>
      <c r="K289" s="34"/>
      <c r="L289" s="31">
        <v>-85</v>
      </c>
      <c r="M289" s="33">
        <v>-81479.926505384967</v>
      </c>
      <c r="N289" s="34"/>
      <c r="O289" s="31">
        <v>0</v>
      </c>
      <c r="P289" s="37">
        <v>948.17583445943023</v>
      </c>
      <c r="Q289" s="35">
        <v>0</v>
      </c>
      <c r="R289" s="3" t="s">
        <v>254</v>
      </c>
    </row>
    <row r="290" spans="2:18" x14ac:dyDescent="0.2">
      <c r="B290" s="16" t="s">
        <v>227</v>
      </c>
      <c r="C290" s="9" t="s">
        <v>255</v>
      </c>
      <c r="D290" s="9" t="s">
        <v>279</v>
      </c>
      <c r="E290" s="31">
        <v>728</v>
      </c>
      <c r="F290" s="33">
        <v>505.51342102033567</v>
      </c>
      <c r="G290" s="33">
        <v>368013.77050280437</v>
      </c>
      <c r="H290" s="34"/>
      <c r="I290" s="31">
        <v>0</v>
      </c>
      <c r="J290" s="33">
        <v>0</v>
      </c>
      <c r="K290" s="34"/>
      <c r="L290" s="31">
        <v>-728</v>
      </c>
      <c r="M290" s="33">
        <v>-368013.77050280437</v>
      </c>
      <c r="N290" s="34"/>
      <c r="O290" s="31">
        <v>0</v>
      </c>
      <c r="P290" s="37">
        <v>505.51342102033567</v>
      </c>
      <c r="Q290" s="35">
        <v>0</v>
      </c>
      <c r="R290" s="3" t="e">
        <v>#N/A</v>
      </c>
    </row>
    <row r="291" spans="2:18" x14ac:dyDescent="0.2">
      <c r="B291" s="16" t="s">
        <v>227</v>
      </c>
      <c r="C291" s="9" t="s">
        <v>256</v>
      </c>
      <c r="D291" s="9" t="s">
        <v>280</v>
      </c>
      <c r="E291" s="31">
        <v>0</v>
      </c>
      <c r="F291" s="33">
        <v>0</v>
      </c>
      <c r="G291" s="33">
        <v>0</v>
      </c>
      <c r="H291" s="34"/>
      <c r="I291" s="31">
        <v>15</v>
      </c>
      <c r="J291" s="33">
        <v>16237.651683410457</v>
      </c>
      <c r="K291" s="34"/>
      <c r="L291" s="31">
        <v>-15</v>
      </c>
      <c r="M291" s="33">
        <v>-16237.651683410457</v>
      </c>
      <c r="N291" s="34"/>
      <c r="O291" s="31">
        <v>0</v>
      </c>
      <c r="P291" s="37">
        <v>0</v>
      </c>
      <c r="Q291" s="35">
        <v>0</v>
      </c>
      <c r="R291" s="3" t="s">
        <v>256</v>
      </c>
    </row>
    <row r="292" spans="2:18" x14ac:dyDescent="0.2">
      <c r="B292" s="16" t="s">
        <v>227</v>
      </c>
      <c r="C292" s="9" t="s">
        <v>257</v>
      </c>
      <c r="D292" s="9" t="s">
        <v>281</v>
      </c>
      <c r="E292" s="31">
        <v>1</v>
      </c>
      <c r="F292" s="33">
        <v>1838.6302118418171</v>
      </c>
      <c r="G292" s="33">
        <v>1838.6302118418171</v>
      </c>
      <c r="H292" s="34"/>
      <c r="I292" s="31">
        <v>75</v>
      </c>
      <c r="J292" s="33">
        <v>128911.31685874474</v>
      </c>
      <c r="K292" s="34"/>
      <c r="L292" s="31">
        <v>-76</v>
      </c>
      <c r="M292" s="33">
        <v>-130749.94707058655</v>
      </c>
      <c r="N292" s="34"/>
      <c r="O292" s="31">
        <v>0</v>
      </c>
      <c r="P292" s="37">
        <v>1838.6302118418171</v>
      </c>
      <c r="Q292" s="35">
        <v>0</v>
      </c>
      <c r="R292" s="3" t="s">
        <v>257</v>
      </c>
    </row>
    <row r="293" spans="2:18" x14ac:dyDescent="0.2">
      <c r="B293" s="16" t="s">
        <v>227</v>
      </c>
      <c r="C293" s="9" t="s">
        <v>258</v>
      </c>
      <c r="D293" s="9" t="s">
        <v>282</v>
      </c>
      <c r="E293" s="31">
        <v>262</v>
      </c>
      <c r="F293" s="33">
        <v>975.09324827015428</v>
      </c>
      <c r="G293" s="33">
        <v>255474.43104678043</v>
      </c>
      <c r="H293" s="34"/>
      <c r="I293" s="31">
        <v>0</v>
      </c>
      <c r="J293" s="33">
        <v>0</v>
      </c>
      <c r="K293" s="34"/>
      <c r="L293" s="31">
        <v>-262</v>
      </c>
      <c r="M293" s="33">
        <v>-255474.43104678043</v>
      </c>
      <c r="N293" s="34"/>
      <c r="O293" s="31">
        <v>0</v>
      </c>
      <c r="P293" s="37">
        <v>975.09324827015428</v>
      </c>
      <c r="Q293" s="35">
        <v>0</v>
      </c>
      <c r="R293" s="3" t="e">
        <v>#N/A</v>
      </c>
    </row>
    <row r="294" spans="2:18" x14ac:dyDescent="0.2">
      <c r="B294" s="16" t="s">
        <v>227</v>
      </c>
      <c r="C294" s="9" t="s">
        <v>411</v>
      </c>
      <c r="D294" s="9" t="s">
        <v>412</v>
      </c>
      <c r="E294" s="31">
        <v>12684</v>
      </c>
      <c r="F294" s="33">
        <v>311.32250814465584</v>
      </c>
      <c r="G294" s="33">
        <v>3948814.6933068149</v>
      </c>
      <c r="H294" s="34"/>
      <c r="I294" s="31">
        <v>0</v>
      </c>
      <c r="J294" s="33">
        <v>0</v>
      </c>
      <c r="K294" s="34"/>
      <c r="L294" s="31">
        <v>-1284</v>
      </c>
      <c r="M294" s="33">
        <v>-399738.1004577381</v>
      </c>
      <c r="N294" s="34"/>
      <c r="O294" s="31">
        <v>11400</v>
      </c>
      <c r="P294" s="37">
        <v>311.32250814465584</v>
      </c>
      <c r="Q294" s="35">
        <v>3549076.5928490767</v>
      </c>
      <c r="R294" s="3" t="e">
        <v>#N/A</v>
      </c>
    </row>
    <row r="295" spans="2:18" x14ac:dyDescent="0.2">
      <c r="B295" s="16" t="s">
        <v>227</v>
      </c>
      <c r="C295" s="9" t="s">
        <v>259</v>
      </c>
      <c r="D295" s="9" t="s">
        <v>283</v>
      </c>
      <c r="E295" s="31">
        <v>46</v>
      </c>
      <c r="F295" s="33">
        <v>1226.8900385530753</v>
      </c>
      <c r="G295" s="33">
        <v>56436.941773441467</v>
      </c>
      <c r="H295" s="34"/>
      <c r="I295" s="31">
        <v>50</v>
      </c>
      <c r="J295" s="33">
        <v>57161.919405030407</v>
      </c>
      <c r="K295" s="34"/>
      <c r="L295" s="31">
        <v>-96</v>
      </c>
      <c r="M295" s="33">
        <v>-113598.86117847188</v>
      </c>
      <c r="N295" s="34"/>
      <c r="O295" s="31">
        <v>0</v>
      </c>
      <c r="P295" s="37">
        <v>1226.8900385530753</v>
      </c>
      <c r="Q295" s="35">
        <v>0</v>
      </c>
      <c r="R295" s="3" t="s">
        <v>259</v>
      </c>
    </row>
    <row r="296" spans="2:18" x14ac:dyDescent="0.2">
      <c r="B296" s="16" t="s">
        <v>227</v>
      </c>
      <c r="C296" s="9" t="s">
        <v>260</v>
      </c>
      <c r="D296" s="9" t="s">
        <v>284</v>
      </c>
      <c r="E296" s="31">
        <v>0</v>
      </c>
      <c r="F296" s="33">
        <v>0</v>
      </c>
      <c r="G296" s="33">
        <v>0</v>
      </c>
      <c r="H296" s="34"/>
      <c r="I296" s="31">
        <v>0</v>
      </c>
      <c r="J296" s="33">
        <v>0</v>
      </c>
      <c r="K296" s="34"/>
      <c r="L296" s="31">
        <v>0</v>
      </c>
      <c r="M296" s="33">
        <v>0</v>
      </c>
      <c r="N296" s="34"/>
      <c r="O296" s="31">
        <v>0</v>
      </c>
      <c r="P296" s="37">
        <v>0</v>
      </c>
      <c r="Q296" s="35">
        <v>0</v>
      </c>
      <c r="R296" s="3" t="e">
        <v>#N/A</v>
      </c>
    </row>
    <row r="297" spans="2:18" x14ac:dyDescent="0.2">
      <c r="B297" s="16" t="s">
        <v>227</v>
      </c>
      <c r="C297" s="9" t="s">
        <v>495</v>
      </c>
      <c r="D297" s="9" t="s">
        <v>496</v>
      </c>
      <c r="E297" s="31">
        <v>0</v>
      </c>
      <c r="F297" s="33">
        <v>0</v>
      </c>
      <c r="G297" s="33">
        <v>0</v>
      </c>
      <c r="H297" s="34"/>
      <c r="I297" s="31">
        <v>0</v>
      </c>
      <c r="J297" s="33">
        <v>0</v>
      </c>
      <c r="K297" s="34"/>
      <c r="L297" s="31">
        <v>0</v>
      </c>
      <c r="M297" s="33">
        <v>0</v>
      </c>
      <c r="N297" s="34"/>
      <c r="O297" s="31">
        <v>0</v>
      </c>
      <c r="P297" s="37">
        <v>0</v>
      </c>
      <c r="Q297" s="35">
        <v>0</v>
      </c>
      <c r="R297" s="3" t="e">
        <v>#N/A</v>
      </c>
    </row>
    <row r="298" spans="2:18" x14ac:dyDescent="0.2">
      <c r="B298" s="16" t="s">
        <v>227</v>
      </c>
      <c r="C298" s="9" t="s">
        <v>524</v>
      </c>
      <c r="D298" s="9" t="s">
        <v>525</v>
      </c>
      <c r="E298" s="31">
        <v>0</v>
      </c>
      <c r="F298" s="33">
        <v>0</v>
      </c>
      <c r="G298" s="33">
        <v>0</v>
      </c>
      <c r="H298" s="34"/>
      <c r="I298" s="31">
        <v>0</v>
      </c>
      <c r="J298" s="33">
        <v>0</v>
      </c>
      <c r="K298" s="34"/>
      <c r="L298" s="31">
        <v>0</v>
      </c>
      <c r="M298" s="33">
        <v>0</v>
      </c>
      <c r="N298" s="34"/>
      <c r="O298" s="31">
        <v>0</v>
      </c>
      <c r="P298" s="37">
        <v>0</v>
      </c>
      <c r="Q298" s="35">
        <v>0</v>
      </c>
      <c r="R298" s="3" t="e">
        <v>#N/A</v>
      </c>
    </row>
    <row r="299" spans="2:18" x14ac:dyDescent="0.2">
      <c r="B299" s="16" t="s">
        <v>227</v>
      </c>
      <c r="C299" s="9" t="s">
        <v>526</v>
      </c>
      <c r="D299" s="9" t="s">
        <v>527</v>
      </c>
      <c r="E299" s="31">
        <v>0</v>
      </c>
      <c r="F299" s="33">
        <v>0</v>
      </c>
      <c r="G299" s="33">
        <v>0</v>
      </c>
      <c r="H299" s="34"/>
      <c r="I299" s="31">
        <v>0</v>
      </c>
      <c r="J299" s="33">
        <v>0</v>
      </c>
      <c r="K299" s="34"/>
      <c r="L299" s="31">
        <v>0</v>
      </c>
      <c r="M299" s="33">
        <v>0</v>
      </c>
      <c r="N299" s="34"/>
      <c r="O299" s="31">
        <v>0</v>
      </c>
      <c r="P299" s="37">
        <v>0</v>
      </c>
      <c r="Q299" s="35">
        <v>0</v>
      </c>
      <c r="R299" s="3" t="e">
        <v>#N/A</v>
      </c>
    </row>
    <row r="300" spans="2:18" x14ac:dyDescent="0.2">
      <c r="B300" s="16" t="s">
        <v>227</v>
      </c>
      <c r="C300" s="9" t="s">
        <v>497</v>
      </c>
      <c r="D300" s="9" t="s">
        <v>498</v>
      </c>
      <c r="E300" s="31">
        <v>0</v>
      </c>
      <c r="F300" s="33">
        <v>0</v>
      </c>
      <c r="G300" s="33">
        <v>0</v>
      </c>
      <c r="H300" s="34"/>
      <c r="I300" s="31">
        <v>0</v>
      </c>
      <c r="J300" s="33">
        <v>0</v>
      </c>
      <c r="K300" s="34"/>
      <c r="L300" s="31">
        <v>0</v>
      </c>
      <c r="M300" s="33">
        <v>0</v>
      </c>
      <c r="N300" s="34"/>
      <c r="O300" s="31">
        <v>0</v>
      </c>
      <c r="P300" s="37">
        <v>0</v>
      </c>
      <c r="Q300" s="35">
        <v>0</v>
      </c>
      <c r="R300" s="3" t="e">
        <v>#N/A</v>
      </c>
    </row>
    <row r="301" spans="2:18" x14ac:dyDescent="0.2">
      <c r="B301" s="16" t="s">
        <v>227</v>
      </c>
      <c r="C301" s="9" t="s">
        <v>528</v>
      </c>
      <c r="D301" s="9" t="s">
        <v>529</v>
      </c>
      <c r="E301" s="31">
        <v>0</v>
      </c>
      <c r="F301" s="33">
        <v>0</v>
      </c>
      <c r="G301" s="33">
        <v>0</v>
      </c>
      <c r="H301" s="34"/>
      <c r="I301" s="31">
        <v>0</v>
      </c>
      <c r="J301" s="33">
        <v>0</v>
      </c>
      <c r="K301" s="34"/>
      <c r="L301" s="31">
        <v>0</v>
      </c>
      <c r="M301" s="33">
        <v>0</v>
      </c>
      <c r="N301" s="34"/>
      <c r="O301" s="31">
        <v>0</v>
      </c>
      <c r="P301" s="37">
        <v>0</v>
      </c>
      <c r="Q301" s="35">
        <v>0</v>
      </c>
      <c r="R301" s="3" t="e">
        <v>#N/A</v>
      </c>
    </row>
    <row r="302" spans="2:18" x14ac:dyDescent="0.2">
      <c r="B302" s="16" t="s">
        <v>227</v>
      </c>
      <c r="C302" s="9" t="s">
        <v>530</v>
      </c>
      <c r="D302" s="9" t="s">
        <v>531</v>
      </c>
      <c r="E302" s="31">
        <v>0</v>
      </c>
      <c r="F302" s="33">
        <v>0</v>
      </c>
      <c r="G302" s="33">
        <v>0</v>
      </c>
      <c r="H302" s="34"/>
      <c r="I302" s="31">
        <v>0</v>
      </c>
      <c r="J302" s="33">
        <v>0</v>
      </c>
      <c r="K302" s="34"/>
      <c r="L302" s="31">
        <v>0</v>
      </c>
      <c r="M302" s="33">
        <v>0</v>
      </c>
      <c r="N302" s="34"/>
      <c r="O302" s="31">
        <v>0</v>
      </c>
      <c r="P302" s="37">
        <v>0</v>
      </c>
      <c r="Q302" s="35">
        <v>0</v>
      </c>
      <c r="R302" s="3" t="e">
        <v>#N/A</v>
      </c>
    </row>
    <row r="303" spans="2:18" x14ac:dyDescent="0.2">
      <c r="B303" s="16" t="s">
        <v>227</v>
      </c>
      <c r="C303" s="9" t="s">
        <v>532</v>
      </c>
      <c r="D303" s="9" t="s">
        <v>533</v>
      </c>
      <c r="E303" s="31">
        <v>0</v>
      </c>
      <c r="F303" s="33">
        <v>0</v>
      </c>
      <c r="G303" s="33">
        <v>0</v>
      </c>
      <c r="H303" s="34"/>
      <c r="I303" s="31">
        <v>0</v>
      </c>
      <c r="J303" s="33">
        <v>0</v>
      </c>
      <c r="K303" s="34"/>
      <c r="L303" s="31">
        <v>0</v>
      </c>
      <c r="M303" s="33">
        <v>0</v>
      </c>
      <c r="N303" s="34"/>
      <c r="O303" s="31">
        <v>0</v>
      </c>
      <c r="P303" s="37">
        <v>0</v>
      </c>
      <c r="Q303" s="35">
        <v>0</v>
      </c>
      <c r="R303" s="3" t="e">
        <v>#N/A</v>
      </c>
    </row>
    <row r="304" spans="2:18" x14ac:dyDescent="0.2">
      <c r="B304" s="16" t="s">
        <v>227</v>
      </c>
      <c r="C304" s="9" t="s">
        <v>534</v>
      </c>
      <c r="D304" s="9" t="s">
        <v>535</v>
      </c>
      <c r="E304" s="31">
        <v>0</v>
      </c>
      <c r="F304" s="33">
        <v>0</v>
      </c>
      <c r="G304" s="33">
        <v>0</v>
      </c>
      <c r="H304" s="34"/>
      <c r="I304" s="31">
        <v>0</v>
      </c>
      <c r="J304" s="33">
        <v>0</v>
      </c>
      <c r="K304" s="34"/>
      <c r="L304" s="31">
        <v>0</v>
      </c>
      <c r="M304" s="33">
        <v>0</v>
      </c>
      <c r="N304" s="34"/>
      <c r="O304" s="31">
        <v>0</v>
      </c>
      <c r="P304" s="37">
        <v>0</v>
      </c>
      <c r="Q304" s="35">
        <v>0</v>
      </c>
      <c r="R304" s="3" t="e">
        <v>#N/A</v>
      </c>
    </row>
    <row r="305" spans="2:18" x14ac:dyDescent="0.2">
      <c r="B305" s="16" t="s">
        <v>227</v>
      </c>
      <c r="C305" s="9" t="s">
        <v>536</v>
      </c>
      <c r="D305" s="9" t="s">
        <v>537</v>
      </c>
      <c r="E305" s="31">
        <v>0</v>
      </c>
      <c r="F305" s="33">
        <v>0</v>
      </c>
      <c r="G305" s="33">
        <v>0</v>
      </c>
      <c r="H305" s="34"/>
      <c r="I305" s="31">
        <v>0</v>
      </c>
      <c r="J305" s="33">
        <v>0</v>
      </c>
      <c r="K305" s="34"/>
      <c r="L305" s="31">
        <v>0</v>
      </c>
      <c r="M305" s="33">
        <v>0</v>
      </c>
      <c r="N305" s="34"/>
      <c r="O305" s="31">
        <v>0</v>
      </c>
      <c r="P305" s="37">
        <v>0</v>
      </c>
      <c r="Q305" s="35">
        <v>0</v>
      </c>
      <c r="R305" s="3" t="e">
        <v>#N/A</v>
      </c>
    </row>
    <row r="306" spans="2:18" x14ac:dyDescent="0.2">
      <c r="B306" s="16" t="s">
        <v>227</v>
      </c>
      <c r="C306" s="9" t="s">
        <v>538</v>
      </c>
      <c r="D306" s="9" t="s">
        <v>539</v>
      </c>
      <c r="E306" s="31">
        <v>0</v>
      </c>
      <c r="F306" s="33">
        <v>0</v>
      </c>
      <c r="G306" s="33">
        <v>0</v>
      </c>
      <c r="H306" s="34"/>
      <c r="I306" s="31">
        <v>0</v>
      </c>
      <c r="J306" s="33">
        <v>0</v>
      </c>
      <c r="K306" s="34"/>
      <c r="L306" s="31">
        <v>0</v>
      </c>
      <c r="M306" s="33">
        <v>0</v>
      </c>
      <c r="N306" s="34"/>
      <c r="O306" s="31">
        <v>0</v>
      </c>
      <c r="P306" s="37">
        <v>0</v>
      </c>
      <c r="Q306" s="35">
        <v>0</v>
      </c>
      <c r="R306" s="3" t="e">
        <v>#N/A</v>
      </c>
    </row>
    <row r="307" spans="2:18" x14ac:dyDescent="0.2">
      <c r="B307" s="16" t="s">
        <v>227</v>
      </c>
      <c r="C307" s="9" t="s">
        <v>540</v>
      </c>
      <c r="D307" s="9" t="s">
        <v>541</v>
      </c>
      <c r="E307" s="31">
        <v>0</v>
      </c>
      <c r="F307" s="33">
        <v>0</v>
      </c>
      <c r="G307" s="33">
        <v>0</v>
      </c>
      <c r="H307" s="34"/>
      <c r="I307" s="31">
        <v>0</v>
      </c>
      <c r="J307" s="33">
        <v>0</v>
      </c>
      <c r="K307" s="34"/>
      <c r="L307" s="31">
        <v>0</v>
      </c>
      <c r="M307" s="33">
        <v>0</v>
      </c>
      <c r="N307" s="34"/>
      <c r="O307" s="31">
        <v>0</v>
      </c>
      <c r="P307" s="37">
        <v>0</v>
      </c>
      <c r="Q307" s="35">
        <v>0</v>
      </c>
      <c r="R307" s="3" t="e">
        <v>#N/A</v>
      </c>
    </row>
    <row r="308" spans="2:18" x14ac:dyDescent="0.2">
      <c r="B308" s="16" t="s">
        <v>227</v>
      </c>
      <c r="C308" s="9" t="s">
        <v>542</v>
      </c>
      <c r="D308" s="9" t="s">
        <v>543</v>
      </c>
      <c r="E308" s="31">
        <v>0</v>
      </c>
      <c r="F308" s="33">
        <v>0</v>
      </c>
      <c r="G308" s="33">
        <v>0</v>
      </c>
      <c r="H308" s="34"/>
      <c r="I308" s="31">
        <v>0</v>
      </c>
      <c r="J308" s="33">
        <v>0</v>
      </c>
      <c r="K308" s="34"/>
      <c r="L308" s="31">
        <v>0</v>
      </c>
      <c r="M308" s="33">
        <v>0</v>
      </c>
      <c r="N308" s="34"/>
      <c r="O308" s="31">
        <v>0</v>
      </c>
      <c r="P308" s="37">
        <v>0</v>
      </c>
      <c r="Q308" s="35">
        <v>0</v>
      </c>
      <c r="R308" s="3" t="e">
        <v>#N/A</v>
      </c>
    </row>
    <row r="309" spans="2:18" x14ac:dyDescent="0.2">
      <c r="B309" s="16" t="s">
        <v>227</v>
      </c>
      <c r="C309" s="9" t="s">
        <v>544</v>
      </c>
      <c r="D309" s="9" t="s">
        <v>545</v>
      </c>
      <c r="E309" s="31">
        <v>0</v>
      </c>
      <c r="F309" s="33">
        <v>0</v>
      </c>
      <c r="G309" s="33">
        <v>0</v>
      </c>
      <c r="H309" s="34"/>
      <c r="I309" s="31">
        <v>0</v>
      </c>
      <c r="J309" s="33">
        <v>0</v>
      </c>
      <c r="K309" s="34"/>
      <c r="L309" s="31">
        <v>0</v>
      </c>
      <c r="M309" s="33">
        <v>0</v>
      </c>
      <c r="N309" s="34"/>
      <c r="O309" s="31">
        <v>0</v>
      </c>
      <c r="P309" s="37">
        <v>0</v>
      </c>
      <c r="Q309" s="35">
        <v>0</v>
      </c>
      <c r="R309" s="3" t="e">
        <v>#N/A</v>
      </c>
    </row>
    <row r="310" spans="2:18" x14ac:dyDescent="0.2">
      <c r="B310" s="16" t="s">
        <v>227</v>
      </c>
      <c r="C310" s="9" t="s">
        <v>546</v>
      </c>
      <c r="D310" s="9" t="s">
        <v>547</v>
      </c>
      <c r="E310" s="31">
        <v>0</v>
      </c>
      <c r="F310" s="33">
        <v>0</v>
      </c>
      <c r="G310" s="33">
        <v>0</v>
      </c>
      <c r="H310" s="34"/>
      <c r="I310" s="31">
        <v>0</v>
      </c>
      <c r="J310" s="33">
        <v>0</v>
      </c>
      <c r="K310" s="34"/>
      <c r="L310" s="31">
        <v>0</v>
      </c>
      <c r="M310" s="33">
        <v>0</v>
      </c>
      <c r="N310" s="34"/>
      <c r="O310" s="31">
        <v>0</v>
      </c>
      <c r="P310" s="37">
        <v>0</v>
      </c>
      <c r="Q310" s="35">
        <v>0</v>
      </c>
      <c r="R310" s="3" t="e">
        <v>#N/A</v>
      </c>
    </row>
    <row r="311" spans="2:18" x14ac:dyDescent="0.2">
      <c r="B311" s="16" t="s">
        <v>227</v>
      </c>
      <c r="C311" s="9" t="s">
        <v>548</v>
      </c>
      <c r="D311" s="9" t="s">
        <v>549</v>
      </c>
      <c r="E311" s="31">
        <v>0</v>
      </c>
      <c r="F311" s="33">
        <v>0</v>
      </c>
      <c r="G311" s="33">
        <v>0</v>
      </c>
      <c r="H311" s="34"/>
      <c r="I311" s="31">
        <v>0</v>
      </c>
      <c r="J311" s="33">
        <v>0</v>
      </c>
      <c r="K311" s="34"/>
      <c r="L311" s="31">
        <v>0</v>
      </c>
      <c r="M311" s="33">
        <v>0</v>
      </c>
      <c r="N311" s="34"/>
      <c r="O311" s="31">
        <v>0</v>
      </c>
      <c r="P311" s="37">
        <v>0</v>
      </c>
      <c r="Q311" s="35">
        <v>0</v>
      </c>
      <c r="R311" s="3" t="e">
        <v>#N/A</v>
      </c>
    </row>
    <row r="312" spans="2:18" x14ac:dyDescent="0.2">
      <c r="B312" s="16" t="s">
        <v>227</v>
      </c>
      <c r="C312" s="9" t="s">
        <v>550</v>
      </c>
      <c r="D312" s="9" t="s">
        <v>551</v>
      </c>
      <c r="E312" s="31">
        <v>0</v>
      </c>
      <c r="F312" s="33">
        <v>0</v>
      </c>
      <c r="G312" s="33">
        <v>0</v>
      </c>
      <c r="H312" s="34"/>
      <c r="I312" s="31">
        <v>0</v>
      </c>
      <c r="J312" s="33">
        <v>0</v>
      </c>
      <c r="K312" s="34"/>
      <c r="L312" s="31">
        <v>0</v>
      </c>
      <c r="M312" s="33">
        <v>0</v>
      </c>
      <c r="N312" s="34"/>
      <c r="O312" s="31">
        <v>0</v>
      </c>
      <c r="P312" s="37">
        <v>0</v>
      </c>
      <c r="Q312" s="35">
        <v>0</v>
      </c>
      <c r="R312" s="3" t="e">
        <v>#N/A</v>
      </c>
    </row>
    <row r="313" spans="2:18" x14ac:dyDescent="0.2">
      <c r="B313" s="16" t="s">
        <v>227</v>
      </c>
      <c r="C313" s="9" t="s">
        <v>552</v>
      </c>
      <c r="D313" s="9" t="s">
        <v>553</v>
      </c>
      <c r="E313" s="31">
        <v>0</v>
      </c>
      <c r="F313" s="33">
        <v>0</v>
      </c>
      <c r="G313" s="33">
        <v>0</v>
      </c>
      <c r="H313" s="34"/>
      <c r="I313" s="31">
        <v>0</v>
      </c>
      <c r="J313" s="33">
        <v>0</v>
      </c>
      <c r="K313" s="34"/>
      <c r="L313" s="31">
        <v>0</v>
      </c>
      <c r="M313" s="33">
        <v>0</v>
      </c>
      <c r="N313" s="34"/>
      <c r="O313" s="31">
        <v>0</v>
      </c>
      <c r="P313" s="37">
        <v>0</v>
      </c>
      <c r="Q313" s="35">
        <v>0</v>
      </c>
      <c r="R313" s="3" t="e">
        <v>#N/A</v>
      </c>
    </row>
    <row r="314" spans="2:18" x14ac:dyDescent="0.2">
      <c r="B314" s="16" t="s">
        <v>227</v>
      </c>
      <c r="C314" s="9" t="s">
        <v>435</v>
      </c>
      <c r="D314" s="9" t="s">
        <v>436</v>
      </c>
      <c r="E314" s="31">
        <v>4</v>
      </c>
      <c r="F314" s="33">
        <v>90.278598150428934</v>
      </c>
      <c r="G314" s="33">
        <v>361.11439260171574</v>
      </c>
      <c r="H314" s="34"/>
      <c r="I314" s="31">
        <v>240</v>
      </c>
      <c r="J314" s="33">
        <v>34666.981689764689</v>
      </c>
      <c r="K314" s="34"/>
      <c r="L314" s="31">
        <v>-27</v>
      </c>
      <c r="M314" s="33">
        <v>-3876.059812393004</v>
      </c>
      <c r="N314" s="34"/>
      <c r="O314" s="31">
        <v>217</v>
      </c>
      <c r="P314" s="37">
        <v>143.55777082937053</v>
      </c>
      <c r="Q314" s="35">
        <v>31152.036269973403</v>
      </c>
      <c r="R314" s="3" t="e">
        <v>#N/A</v>
      </c>
    </row>
    <row r="315" spans="2:18" x14ac:dyDescent="0.2">
      <c r="B315" s="16" t="s">
        <v>227</v>
      </c>
      <c r="C315" s="9" t="s">
        <v>433</v>
      </c>
      <c r="D315" s="9" t="s">
        <v>434</v>
      </c>
      <c r="E315" s="31">
        <v>1</v>
      </c>
      <c r="F315" s="33">
        <v>124.82250105977505</v>
      </c>
      <c r="G315" s="33">
        <v>124.82250105977505</v>
      </c>
      <c r="H315" s="34"/>
      <c r="I315" s="31">
        <v>1100</v>
      </c>
      <c r="J315" s="33">
        <v>137228.14995087398</v>
      </c>
      <c r="K315" s="34"/>
      <c r="L315" s="31">
        <v>-206</v>
      </c>
      <c r="M315" s="33">
        <v>-25699.102929244644</v>
      </c>
      <c r="N315" s="34"/>
      <c r="O315" s="31">
        <v>895</v>
      </c>
      <c r="P315" s="37">
        <v>124.75292684099341</v>
      </c>
      <c r="Q315" s="35">
        <v>111653.8695226891</v>
      </c>
      <c r="R315" s="3" t="e">
        <v>#N/A</v>
      </c>
    </row>
    <row r="316" spans="2:18" x14ac:dyDescent="0.2">
      <c r="B316" s="16" t="s">
        <v>227</v>
      </c>
      <c r="C316" s="9" t="s">
        <v>441</v>
      </c>
      <c r="D316" s="9" t="s">
        <v>442</v>
      </c>
      <c r="E316" s="31">
        <v>7</v>
      </c>
      <c r="F316" s="33">
        <v>113.23213120543524</v>
      </c>
      <c r="G316" s="33">
        <v>792.62491843804662</v>
      </c>
      <c r="H316" s="34"/>
      <c r="I316" s="31">
        <v>1210</v>
      </c>
      <c r="J316" s="33">
        <v>137010.87875857664</v>
      </c>
      <c r="K316" s="34"/>
      <c r="L316" s="31">
        <v>-349</v>
      </c>
      <c r="M316" s="33">
        <v>-39518.013790696903</v>
      </c>
      <c r="N316" s="34"/>
      <c r="O316" s="31">
        <v>868</v>
      </c>
      <c r="P316" s="37">
        <v>113.23213120543525</v>
      </c>
      <c r="Q316" s="35">
        <v>98285.489886317795</v>
      </c>
      <c r="R316" s="3" t="e">
        <v>#N/A</v>
      </c>
    </row>
    <row r="317" spans="2:18" x14ac:dyDescent="0.2">
      <c r="B317" s="16" t="s">
        <v>227</v>
      </c>
      <c r="C317" s="9" t="s">
        <v>439</v>
      </c>
      <c r="D317" s="9" t="s">
        <v>440</v>
      </c>
      <c r="E317" s="31">
        <v>4</v>
      </c>
      <c r="F317" s="33">
        <v>17.882715691467325</v>
      </c>
      <c r="G317" s="33">
        <v>71.530862765869301</v>
      </c>
      <c r="H317" s="34"/>
      <c r="I317" s="31">
        <v>6190</v>
      </c>
      <c r="J317" s="33">
        <v>332082.03039054817</v>
      </c>
      <c r="K317" s="34"/>
      <c r="L317" s="31">
        <v>-524</v>
      </c>
      <c r="M317" s="33">
        <v>-28099.526331407258</v>
      </c>
      <c r="N317" s="34"/>
      <c r="O317" s="31">
        <v>5670</v>
      </c>
      <c r="P317" s="37">
        <v>53.625050250777207</v>
      </c>
      <c r="Q317" s="35">
        <v>304054.03492190677</v>
      </c>
      <c r="R317" s="3" t="e">
        <v>#N/A</v>
      </c>
    </row>
    <row r="318" spans="2:18" x14ac:dyDescent="0.2">
      <c r="B318" s="16" t="s">
        <v>227</v>
      </c>
      <c r="C318" s="9" t="s">
        <v>437</v>
      </c>
      <c r="D318" s="9" t="s">
        <v>438</v>
      </c>
      <c r="E318" s="31">
        <v>10</v>
      </c>
      <c r="F318" s="33">
        <v>53.609157098440448</v>
      </c>
      <c r="G318" s="33">
        <v>536.09157098440448</v>
      </c>
      <c r="H318" s="34"/>
      <c r="I318" s="31">
        <v>7300</v>
      </c>
      <c r="J318" s="33">
        <v>391346.84681861527</v>
      </c>
      <c r="K318" s="34"/>
      <c r="L318" s="31">
        <v>-620</v>
      </c>
      <c r="M318" s="33">
        <v>-33237.677401033077</v>
      </c>
      <c r="N318" s="34"/>
      <c r="O318" s="31">
        <v>6690</v>
      </c>
      <c r="P318" s="37">
        <v>53.609157098440448</v>
      </c>
      <c r="Q318" s="35">
        <v>358645.26098856662</v>
      </c>
      <c r="R318" s="3" t="e">
        <v>#N/A</v>
      </c>
    </row>
    <row r="319" spans="2:18" x14ac:dyDescent="0.2">
      <c r="B319" s="16" t="s">
        <v>227</v>
      </c>
      <c r="C319" s="9" t="s">
        <v>429</v>
      </c>
      <c r="D319" s="9" t="s">
        <v>430</v>
      </c>
      <c r="E319" s="31">
        <v>0</v>
      </c>
      <c r="F319" s="33">
        <v>0</v>
      </c>
      <c r="G319" s="33">
        <v>0</v>
      </c>
      <c r="H319" s="34"/>
      <c r="I319" s="31">
        <v>110</v>
      </c>
      <c r="J319" s="33">
        <v>16918.029846090369</v>
      </c>
      <c r="K319" s="34"/>
      <c r="L319" s="31">
        <v>-12</v>
      </c>
      <c r="M319" s="33">
        <v>-1845.6032559371311</v>
      </c>
      <c r="N319" s="34"/>
      <c r="O319" s="31">
        <v>98</v>
      </c>
      <c r="P319" s="37">
        <v>153.80027132809425</v>
      </c>
      <c r="Q319" s="35">
        <v>15072.426590153238</v>
      </c>
      <c r="R319" s="3" t="e">
        <v>#N/A</v>
      </c>
    </row>
    <row r="320" spans="2:18" x14ac:dyDescent="0.2">
      <c r="B320" s="16" t="s">
        <v>227</v>
      </c>
      <c r="C320" s="9" t="s">
        <v>431</v>
      </c>
      <c r="D320" s="9" t="s">
        <v>432</v>
      </c>
      <c r="E320" s="31">
        <v>0</v>
      </c>
      <c r="F320" s="33">
        <v>0</v>
      </c>
      <c r="G320" s="33">
        <v>0</v>
      </c>
      <c r="H320" s="34"/>
      <c r="I320" s="31">
        <v>900</v>
      </c>
      <c r="J320" s="33">
        <v>187129.31814722985</v>
      </c>
      <c r="K320" s="34"/>
      <c r="L320" s="31">
        <v>-168</v>
      </c>
      <c r="M320" s="33">
        <v>-34930.806054149565</v>
      </c>
      <c r="N320" s="34"/>
      <c r="O320" s="31">
        <v>732</v>
      </c>
      <c r="P320" s="37">
        <v>207.92146460803315</v>
      </c>
      <c r="Q320" s="35">
        <v>152198.51209308027</v>
      </c>
      <c r="R320" s="3" t="e">
        <v>#N/A</v>
      </c>
    </row>
    <row r="321" spans="2:18" x14ac:dyDescent="0.2">
      <c r="B321" s="16" t="s">
        <v>227</v>
      </c>
      <c r="C321" s="9" t="s">
        <v>427</v>
      </c>
      <c r="D321" s="9" t="s">
        <v>428</v>
      </c>
      <c r="E321" s="31">
        <v>0</v>
      </c>
      <c r="F321" s="33">
        <v>0</v>
      </c>
      <c r="G321" s="33">
        <v>0</v>
      </c>
      <c r="H321" s="34"/>
      <c r="I321" s="31">
        <v>4680</v>
      </c>
      <c r="J321" s="33">
        <v>608604.74000348372</v>
      </c>
      <c r="K321" s="34"/>
      <c r="L321" s="31">
        <v>1092</v>
      </c>
      <c r="M321" s="33">
        <v>0</v>
      </c>
      <c r="N321" s="34"/>
      <c r="O321" s="31">
        <v>5772</v>
      </c>
      <c r="P321" s="37">
        <v>105.44087664648021</v>
      </c>
      <c r="Q321" s="35">
        <v>608604.74000348372</v>
      </c>
      <c r="R321" s="3" t="e">
        <v>#N/A</v>
      </c>
    </row>
    <row r="322" spans="2:18" x14ac:dyDescent="0.2">
      <c r="B322" s="16" t="s">
        <v>227</v>
      </c>
      <c r="C322" s="9" t="s">
        <v>421</v>
      </c>
      <c r="D322" s="9" t="s">
        <v>422</v>
      </c>
      <c r="E322" s="31">
        <v>13</v>
      </c>
      <c r="F322" s="33">
        <v>116.61250241084976</v>
      </c>
      <c r="G322" s="33">
        <v>1515.9625313410468</v>
      </c>
      <c r="H322" s="34"/>
      <c r="I322" s="31">
        <v>340</v>
      </c>
      <c r="J322" s="33">
        <v>43492.39530345441</v>
      </c>
      <c r="K322" s="34"/>
      <c r="L322" s="31">
        <v>-38</v>
      </c>
      <c r="M322" s="33">
        <v>-4845.0923448221729</v>
      </c>
      <c r="N322" s="34"/>
      <c r="O322" s="31">
        <v>315</v>
      </c>
      <c r="P322" s="37">
        <v>127.5024301268993</v>
      </c>
      <c r="Q322" s="35">
        <v>40163.265489973281</v>
      </c>
      <c r="R322" s="3" t="e">
        <v>#N/A</v>
      </c>
    </row>
    <row r="323" spans="2:18" x14ac:dyDescent="0.2">
      <c r="B323" s="16" t="s">
        <v>227</v>
      </c>
      <c r="C323" s="9" t="s">
        <v>419</v>
      </c>
      <c r="D323" s="9" t="s">
        <v>420</v>
      </c>
      <c r="E323" s="31">
        <v>2</v>
      </c>
      <c r="F323" s="33">
        <v>110.45396520714769</v>
      </c>
      <c r="G323" s="33">
        <v>220.90793041429538</v>
      </c>
      <c r="H323" s="34"/>
      <c r="I323" s="31">
        <v>1060</v>
      </c>
      <c r="J323" s="33">
        <v>117081.20311957654</v>
      </c>
      <c r="K323" s="34"/>
      <c r="L323" s="31">
        <v>152</v>
      </c>
      <c r="M323" s="33">
        <v>0</v>
      </c>
      <c r="N323" s="34"/>
      <c r="O323" s="31">
        <v>1214</v>
      </c>
      <c r="P323" s="37">
        <v>96.624473682035287</v>
      </c>
      <c r="Q323" s="35">
        <v>117302.11104999084</v>
      </c>
      <c r="R323" s="3" t="e">
        <v>#N/A</v>
      </c>
    </row>
    <row r="324" spans="2:18" x14ac:dyDescent="0.2">
      <c r="B324" s="16" t="s">
        <v>227</v>
      </c>
      <c r="C324" s="9" t="s">
        <v>446</v>
      </c>
      <c r="D324" s="9" t="s">
        <v>450</v>
      </c>
      <c r="E324" s="31">
        <v>4</v>
      </c>
      <c r="F324" s="33">
        <v>33.890783250378298</v>
      </c>
      <c r="G324" s="33">
        <v>135.56313300151319</v>
      </c>
      <c r="H324" s="34"/>
      <c r="I324" s="31">
        <v>5850</v>
      </c>
      <c r="J324" s="33">
        <v>198261.08201471309</v>
      </c>
      <c r="K324" s="34"/>
      <c r="L324" s="31">
        <v>-511</v>
      </c>
      <c r="M324" s="33">
        <v>-17318.190240943313</v>
      </c>
      <c r="N324" s="34"/>
      <c r="O324" s="31">
        <v>5343</v>
      </c>
      <c r="P324" s="37">
        <v>33.890783250378306</v>
      </c>
      <c r="Q324" s="35">
        <v>181078.45490677128</v>
      </c>
      <c r="R324" s="3" t="e">
        <v>#N/A</v>
      </c>
    </row>
    <row r="325" spans="2:18" x14ac:dyDescent="0.2">
      <c r="B325" s="16" t="s">
        <v>227</v>
      </c>
      <c r="C325" s="9" t="s">
        <v>447</v>
      </c>
      <c r="D325" s="9" t="s">
        <v>451</v>
      </c>
      <c r="E325" s="31">
        <v>4</v>
      </c>
      <c r="F325" s="33">
        <v>94.799999999999955</v>
      </c>
      <c r="G325" s="33">
        <v>379.19999999999982</v>
      </c>
      <c r="H325" s="34"/>
      <c r="I325" s="31">
        <v>850</v>
      </c>
      <c r="J325" s="33">
        <v>81479.926505384967</v>
      </c>
      <c r="K325" s="34"/>
      <c r="L325" s="31">
        <v>-93</v>
      </c>
      <c r="M325" s="33">
        <v>-8914.4013641695565</v>
      </c>
      <c r="N325" s="34"/>
      <c r="O325" s="31">
        <v>761</v>
      </c>
      <c r="P325" s="37">
        <v>95.85377810935006</v>
      </c>
      <c r="Q325" s="35">
        <v>72944.7251412154</v>
      </c>
      <c r="R325" s="3" t="e">
        <v>#N/A</v>
      </c>
    </row>
    <row r="326" spans="2:18" x14ac:dyDescent="0.2">
      <c r="B326" s="16" t="s">
        <v>227</v>
      </c>
      <c r="C326" s="9" t="s">
        <v>423</v>
      </c>
      <c r="D326" s="9" t="s">
        <v>424</v>
      </c>
      <c r="E326" s="31">
        <v>2</v>
      </c>
      <c r="F326" s="33">
        <v>42.670269937461441</v>
      </c>
      <c r="G326" s="33">
        <v>85.340539874922882</v>
      </c>
      <c r="H326" s="34"/>
      <c r="I326" s="31">
        <v>7280</v>
      </c>
      <c r="J326" s="33">
        <v>368013.77050280437</v>
      </c>
      <c r="K326" s="34"/>
      <c r="L326" s="31">
        <v>-398</v>
      </c>
      <c r="M326" s="33">
        <v>-20118.572671654263</v>
      </c>
      <c r="N326" s="34"/>
      <c r="O326" s="31">
        <v>6884</v>
      </c>
      <c r="P326" s="37">
        <v>50.549177566970513</v>
      </c>
      <c r="Q326" s="35">
        <v>347980.538371025</v>
      </c>
      <c r="R326" s="3" t="e">
        <v>#N/A</v>
      </c>
    </row>
    <row r="327" spans="2:18" x14ac:dyDescent="0.2">
      <c r="B327" s="16" t="s">
        <v>227</v>
      </c>
      <c r="C327" s="9" t="s">
        <v>415</v>
      </c>
      <c r="D327" s="9" t="s">
        <v>416</v>
      </c>
      <c r="E327" s="31">
        <v>1</v>
      </c>
      <c r="F327" s="33">
        <v>104.60221545070863</v>
      </c>
      <c r="G327" s="33">
        <v>104.60221545070863</v>
      </c>
      <c r="H327" s="34"/>
      <c r="I327" s="31">
        <v>150</v>
      </c>
      <c r="J327" s="33">
        <v>16237.651683410457</v>
      </c>
      <c r="K327" s="34"/>
      <c r="L327" s="31">
        <v>-31</v>
      </c>
      <c r="M327" s="33">
        <v>-3355.0322573820936</v>
      </c>
      <c r="N327" s="34"/>
      <c r="O327" s="31">
        <v>120</v>
      </c>
      <c r="P327" s="37">
        <v>108.22684701232559</v>
      </c>
      <c r="Q327" s="35">
        <v>12987.221641479071</v>
      </c>
      <c r="R327" s="3" t="e">
        <v>#N/A</v>
      </c>
    </row>
    <row r="328" spans="2:18" x14ac:dyDescent="0.2">
      <c r="B328" s="16" t="s">
        <v>227</v>
      </c>
      <c r="C328" s="9" t="s">
        <v>413</v>
      </c>
      <c r="D328" s="9" t="s">
        <v>414</v>
      </c>
      <c r="E328" s="31">
        <v>0</v>
      </c>
      <c r="F328" s="33">
        <v>0</v>
      </c>
      <c r="G328" s="33">
        <v>0</v>
      </c>
      <c r="H328" s="34"/>
      <c r="I328" s="31">
        <v>760</v>
      </c>
      <c r="J328" s="33">
        <v>130749.94707058655</v>
      </c>
      <c r="K328" s="34"/>
      <c r="L328" s="31">
        <v>-76</v>
      </c>
      <c r="M328" s="33">
        <v>-13074.994707058657</v>
      </c>
      <c r="N328" s="34"/>
      <c r="O328" s="31">
        <v>684</v>
      </c>
      <c r="P328" s="37">
        <v>172.03940404024547</v>
      </c>
      <c r="Q328" s="35">
        <v>117674.9523635279</v>
      </c>
      <c r="R328" s="3" t="e">
        <v>#N/A</v>
      </c>
    </row>
    <row r="329" spans="2:18" x14ac:dyDescent="0.2">
      <c r="B329" s="16" t="s">
        <v>227</v>
      </c>
      <c r="C329" s="9" t="s">
        <v>417</v>
      </c>
      <c r="D329" s="9" t="s">
        <v>418</v>
      </c>
      <c r="E329" s="31">
        <v>8</v>
      </c>
      <c r="F329" s="33">
        <v>98.311100749533921</v>
      </c>
      <c r="G329" s="33">
        <v>786.48880599627137</v>
      </c>
      <c r="H329" s="34"/>
      <c r="I329" s="31">
        <v>2620</v>
      </c>
      <c r="J329" s="33">
        <v>255474.43104678043</v>
      </c>
      <c r="K329" s="34"/>
      <c r="L329" s="31">
        <v>-250</v>
      </c>
      <c r="M329" s="33">
        <v>-24377.941386299157</v>
      </c>
      <c r="N329" s="34"/>
      <c r="O329" s="31">
        <v>2378</v>
      </c>
      <c r="P329" s="37">
        <v>97.511765545196624</v>
      </c>
      <c r="Q329" s="35">
        <v>231882.97846647757</v>
      </c>
      <c r="R329" s="3" t="e">
        <v>#N/A</v>
      </c>
    </row>
    <row r="330" spans="2:18" x14ac:dyDescent="0.2">
      <c r="B330" s="16" t="s">
        <v>227</v>
      </c>
      <c r="C330" s="9" t="s">
        <v>425</v>
      </c>
      <c r="D330" s="9" t="s">
        <v>426</v>
      </c>
      <c r="E330" s="31">
        <v>0</v>
      </c>
      <c r="F330" s="33">
        <v>0</v>
      </c>
      <c r="G330" s="33">
        <v>0</v>
      </c>
      <c r="H330" s="34"/>
      <c r="I330" s="31">
        <v>960</v>
      </c>
      <c r="J330" s="33">
        <v>113598.86117847188</v>
      </c>
      <c r="K330" s="34"/>
      <c r="L330" s="31">
        <v>-157</v>
      </c>
      <c r="M330" s="33">
        <v>-18578.147088562589</v>
      </c>
      <c r="N330" s="34"/>
      <c r="O330" s="31">
        <v>803</v>
      </c>
      <c r="P330" s="37">
        <v>118.33214706090821</v>
      </c>
      <c r="Q330" s="35">
        <v>95020.714089909292</v>
      </c>
      <c r="R330" s="3" t="e">
        <v>#N/A</v>
      </c>
    </row>
    <row r="331" spans="2:18" x14ac:dyDescent="0.2">
      <c r="B331" s="16" t="s">
        <v>499</v>
      </c>
      <c r="C331" s="9" t="s">
        <v>500</v>
      </c>
      <c r="D331" s="9" t="s">
        <v>261</v>
      </c>
      <c r="E331" s="31">
        <v>2</v>
      </c>
      <c r="F331" s="33">
        <v>23600.930748065555</v>
      </c>
      <c r="G331" s="33">
        <v>47201.86149613111</v>
      </c>
      <c r="H331" s="34"/>
      <c r="I331" s="31">
        <v>0</v>
      </c>
      <c r="J331" s="33">
        <v>0</v>
      </c>
      <c r="K331" s="34"/>
      <c r="L331" s="31">
        <v>-2</v>
      </c>
      <c r="M331" s="33">
        <v>-47201.86149613111</v>
      </c>
      <c r="N331" s="34"/>
      <c r="O331" s="31">
        <v>0</v>
      </c>
      <c r="P331" s="37">
        <v>23600.930748065555</v>
      </c>
      <c r="Q331" s="35">
        <v>0</v>
      </c>
      <c r="R331" s="3" t="e">
        <v>#N/A</v>
      </c>
    </row>
    <row r="332" spans="2:18" x14ac:dyDescent="0.2">
      <c r="B332" s="16" t="s">
        <v>499</v>
      </c>
      <c r="C332" s="9" t="s">
        <v>501</v>
      </c>
      <c r="D332" s="9" t="s">
        <v>284</v>
      </c>
      <c r="E332" s="31">
        <v>2</v>
      </c>
      <c r="F332" s="33">
        <v>294.51969584911058</v>
      </c>
      <c r="G332" s="33">
        <v>589.03939169822115</v>
      </c>
      <c r="H332" s="34"/>
      <c r="I332" s="31">
        <v>0</v>
      </c>
      <c r="J332" s="33">
        <v>0</v>
      </c>
      <c r="K332" s="34"/>
      <c r="L332" s="31">
        <v>-2</v>
      </c>
      <c r="M332" s="33">
        <v>-589.03939169822115</v>
      </c>
      <c r="N332" s="34"/>
      <c r="O332" s="31">
        <v>0</v>
      </c>
      <c r="P332" s="37">
        <v>294.51969584911058</v>
      </c>
      <c r="Q332" s="35">
        <v>0</v>
      </c>
      <c r="R332" s="3" t="e">
        <v>#N/A</v>
      </c>
    </row>
    <row r="333" spans="2:18" x14ac:dyDescent="0.2">
      <c r="B333" s="16" t="s">
        <v>499</v>
      </c>
      <c r="C333" s="9" t="s">
        <v>574</v>
      </c>
      <c r="D333" s="9" t="s">
        <v>575</v>
      </c>
      <c r="E333" s="31">
        <v>0</v>
      </c>
      <c r="F333" s="33">
        <v>0</v>
      </c>
      <c r="G333" s="33">
        <v>0</v>
      </c>
      <c r="H333" s="34"/>
      <c r="I333" s="31">
        <v>1</v>
      </c>
      <c r="J333" s="33">
        <v>7200</v>
      </c>
      <c r="K333" s="34"/>
      <c r="L333" s="31">
        <v>0</v>
      </c>
      <c r="M333" s="33">
        <v>0</v>
      </c>
      <c r="N333" s="34"/>
      <c r="O333" s="31">
        <v>1</v>
      </c>
      <c r="P333" s="37">
        <v>7200</v>
      </c>
      <c r="Q333" s="35">
        <v>7200</v>
      </c>
      <c r="R333" s="3" t="e">
        <v>#N/A</v>
      </c>
    </row>
    <row r="334" spans="2:18" x14ac:dyDescent="0.2">
      <c r="B334" s="16" t="s">
        <v>499</v>
      </c>
      <c r="C334" s="9" t="s">
        <v>576</v>
      </c>
      <c r="D334" s="9" t="s">
        <v>577</v>
      </c>
      <c r="E334" s="31">
        <v>0</v>
      </c>
      <c r="F334" s="33">
        <v>0</v>
      </c>
      <c r="G334" s="33">
        <v>0</v>
      </c>
      <c r="H334" s="34"/>
      <c r="I334" s="31">
        <v>1</v>
      </c>
      <c r="J334" s="33">
        <v>10666.666666666668</v>
      </c>
      <c r="K334" s="34"/>
      <c r="L334" s="31">
        <v>0</v>
      </c>
      <c r="M334" s="33">
        <v>0</v>
      </c>
      <c r="N334" s="34"/>
      <c r="O334" s="31">
        <v>1</v>
      </c>
      <c r="P334" s="37">
        <v>10666.666666666668</v>
      </c>
      <c r="Q334" s="35">
        <v>10666.666666666668</v>
      </c>
      <c r="R334" s="3" t="e">
        <v>#N/A</v>
      </c>
    </row>
  </sheetData>
  <conditionalFormatting sqref="C6">
    <cfRule type="duplicateValues" dxfId="10" priority="16"/>
    <cfRule type="duplicateValues" dxfId="9" priority="17"/>
  </conditionalFormatting>
  <conditionalFormatting sqref="C7:C334">
    <cfRule type="duplicateValues" dxfId="8" priority="77"/>
    <cfRule type="duplicateValues" dxfId="7" priority="78"/>
    <cfRule type="duplicateValues" dxfId="6" priority="79"/>
  </conditionalFormatting>
  <conditionalFormatting sqref="O7:Q334">
    <cfRule type="cellIs" dxfId="5" priority="6" operator="lessThan">
      <formula>0</formula>
    </cfRule>
  </conditionalFormatting>
  <conditionalFormatting sqref="S7">
    <cfRule type="cellIs" dxfId="4" priority="2" operator="lessThan">
      <formula>0</formula>
    </cfRule>
  </conditionalFormatting>
  <conditionalFormatting sqref="S9:S16">
    <cfRule type="cellIs" dxfId="3" priority="1" operator="lessThan">
      <formula>0</formula>
    </cfRule>
  </conditionalFormatting>
  <conditionalFormatting sqref="S233:S237">
    <cfRule type="cellIs" dxfId="2" priority="5" operator="lessThan">
      <formula>0</formula>
    </cfRule>
  </conditionalFormatting>
  <conditionalFormatting sqref="S239:S242">
    <cfRule type="cellIs" dxfId="1" priority="4" operator="lessThan">
      <formula>0</formula>
    </cfRule>
  </conditionalFormatting>
  <conditionalFormatting sqref="S234:X234 W234:X243 S235:U239 V235:X243 T240:U242 S243:U243 S244:X244">
    <cfRule type="cellIs" dxfId="0" priority="13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Machado</dc:creator>
  <cp:lastModifiedBy>Diego  Machado</cp:lastModifiedBy>
  <dcterms:created xsi:type="dcterms:W3CDTF">2024-04-18T14:14:06Z</dcterms:created>
  <dcterms:modified xsi:type="dcterms:W3CDTF">2025-09-01T20:32:56Z</dcterms:modified>
</cp:coreProperties>
</file>